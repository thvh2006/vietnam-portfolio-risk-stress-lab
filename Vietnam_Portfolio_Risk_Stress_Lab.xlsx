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af02042af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Dashboard" sheetId="1" r:id="Re8a33e951f2547d7"/>
    <x:sheet xmlns:r="http://schemas.openxmlformats.org/officeDocument/2006/relationships" name="Assumptions" sheetId="2" r:id="Re2d999714a3f4602"/>
    <x:sheet xmlns:r="http://schemas.openxmlformats.org/officeDocument/2006/relationships" name="Risk Detail" sheetId="3" r:id="Rf404fb84b5734888"/>
    <x:sheet xmlns:r="http://schemas.openxmlformats.org/officeDocument/2006/relationships" name="Hedge Analysis" sheetId="4" r:id="Rf1a762e1e23f48ec"/>
    <x:sheet xmlns:r="http://schemas.openxmlformats.org/officeDocument/2006/relationships" name="Model Diagnostics" sheetId="5" r:id="Rd675bce664604739"/>
    <x:sheet xmlns:r="http://schemas.openxmlformats.org/officeDocument/2006/relationships" name="Data &amp; Audit" sheetId="6" r:id="R35fc7b75cb76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%"/>
    <x:numFmt numFmtId="202" formatCode="0.00x"/>
    <x:numFmt numFmtId="203" formatCode="0.0"/>
    <x:numFmt numFmtId="204" formatCode="0.00%"/>
    <x:numFmt numFmtId="205" formatCode="0.00"/>
    <x:numFmt numFmtId="206" formatCode="0"/>
    <x:numFmt numFmtId="207" formatCode="0.000"/>
  </x:numFmts>
  <x:fonts count="8">
    <x:font>
      <x:sz val="11"/>
      <x:name val="Carlito"/>
    </x:font>
    <x:font>
      <x:sz val="10"/>
      <x:color rgb="FF17212B"/>
      <x:name val="Arial"/>
    </x:font>
    <x:font>
      <x:b/>
      <x:sz val="16"/>
      <x:color rgb="FF17324D"/>
      <x:name val="Arial"/>
    </x:font>
    <x:font>
      <x:i/>
      <x:sz val="9"/>
      <x:color rgb="FF667085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324D"/>
      <x:name val="Arial"/>
    </x:font>
    <x:font>
      <x:b/>
      <x:sz val="14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1F7"/>
      </x:patternFill>
    </x:fill>
  </x:fills>
  <x:borders count="3">
    <x:border/>
    <x:border>
      <x:bottom style="thin">
        <x:color rgb="FFAAB7C4"/>
      </x:bottom>
    </x:border>
    <x:border>
      <x:bottom style="thin">
        <x:color rgb="FF9FB3C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202" fontId="5" fillId="3" borderId="0" xfId="0" applyNumberFormat="1" applyFont="1" applyFill="1" applyBorder="1"/>
    <x:xf numFmtId="203" fontId="5" fillId="3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204" fontId="7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7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C0392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71a38e7644b6a" /><Relationship Type="http://schemas.openxmlformats.org/officeDocument/2006/relationships/theme" Target="/xl/theme/theme1.xml" Id="R50cebaf904234d31" /><Relationship Type="http://schemas.openxmlformats.org/officeDocument/2006/relationships/sharedStrings" Target="/xl/sharedStrings.xml" Id="R9399fe5983214d1f" /><Relationship Type="http://schemas.openxmlformats.org/officeDocument/2006/relationships/worksheet" Target="/xl/worksheets/sheet1.xml" Id="Re8a33e951f2547d7" /><Relationship Type="http://schemas.openxmlformats.org/officeDocument/2006/relationships/worksheet" Target="/xl/worksheets/sheet2.xml" Id="Re2d999714a3f4602" /><Relationship Type="http://schemas.openxmlformats.org/officeDocument/2006/relationships/worksheet" Target="/xl/worksheets/sheet3.xml" Id="Rf404fb84b5734888" /><Relationship Type="http://schemas.openxmlformats.org/officeDocument/2006/relationships/worksheet" Target="/xl/worksheets/sheet4.xml" Id="Rf1a762e1e23f48ec" /><Relationship Type="http://schemas.openxmlformats.org/officeDocument/2006/relationships/worksheet" Target="/xl/worksheets/sheet5.xml" Id="Rd675bce664604739" /><Relationship Type="http://schemas.openxmlformats.org/officeDocument/2006/relationships/worksheet" Target="/xl/worksheets/sheet6.xml" Id="R35fc7b75cb7642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e8d92283dd44a8" /><Relationship Type="http://schemas.openxmlformats.org/officeDocument/2006/relationships/chart" Target="/xl/drawings/charts/chart2.xml" Id="R24f82aa5fc34472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a22bc907faf42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contributors to portfolio volatility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Share of risk</c:v>
          </c:tx>
          <c:cat>
            <c:strRef>
              <c:f>'Risk Detail'!$N$21:$N$30</c:f>
              <c:strCache>
                <c:ptCount val="0"/>
              </c:strCache>
            </c:strRef>
          </c:cat>
          <c:val>
            <c:numRef>
              <c:f>'Risk Detail'!$O$21:$O$30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Sector weight versus share of risk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Weight</c:v>
          </c:tx>
          <c:cat>
            <c:strRef>
              <c:f>'Risk Detail'!$J$21:$J$29</c:f>
              <c:strCache>
                <c:ptCount val="0"/>
              </c:strCache>
            </c:strRef>
          </c:cat>
          <c:val>
            <c:numRef>
              <c:f>'Risk Detail'!$K$21:$K$29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Share of risk</c:v>
          </c:tx>
          <c:cat>
            <c:strRef>
              <c:f>'Risk Detail'!$J$21:$J$29</c:f>
              <c:strCache>
                <c:ptCount val="0"/>
              </c:strCache>
            </c:strRef>
          </c:cat>
          <c:val>
            <c:numRef>
              <c:f>'Risk Detail'!$L$21:$L$29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Risk regime: 60-day volatility and 250-day VaR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60d volatility</c:v>
          </c:tx>
          <c:marker>
            <c:symbol val="none"/>
          </c:marker>
          <c:cat>
            <c:strRef>
              <c:f>'Model Diagnostics'!$H$6:$H$109</c:f>
              <c:strCache>
                <c:ptCount val="0"/>
              </c:strCache>
            </c:strRef>
          </c:cat>
          <c:val>
            <c:numRef>
              <c:f>'Model Diagnostics'!$I$6:$I$109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250d VaR 99%</c:v>
          </c:tx>
          <c:marker>
            <c:symbol val="none"/>
          </c:marker>
          <c:cat>
            <c:strRef>
              <c:f>'Model Diagnostics'!$H$6:$H$109</c:f>
              <c:strCache>
                <c:ptCount val="0"/>
              </c:strCache>
            </c:strRef>
          </c:cat>
          <c:val>
            <c:numRef>
              <c:f>'Model Diagnostics'!$J$6:$J$109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32</xdr:row>
      <xdr:rowOff>0</xdr:rowOff>
    </xdr:from>
    <xdr:ext cx="4953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e8d92283dd44a8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4953000" cy="2476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f82aa5fc34472b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2</xdr:col>
      <xdr:colOff>0</xdr:colOff>
      <xdr:row>27</xdr:row>
      <xdr:rowOff>0</xdr:rowOff>
    </xdr:from>
    <xdr:ext cx="685800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22bc907faf426e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856d7e15ae847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a6de7a84de1440bf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8" max="8" width="48" hidden="0" customWidth="1"/>
    <x:col min="9" max="9" width="20" hidden="0" customWidth="1"/>
    <x:col min="10" max="10" width="20" hidden="0" customWidth="1"/>
    <x:col min="11" max="11" width="48" hidden="0" customWidth="1"/>
  </x:cols>
  <x:sheetData>
    <x:row r="1"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C2" s="3" t="str">
        <x:v>Vietnam Portfolio Risk &amp; Stress Dashboard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C3" s="4" t="str">
        <x:v>FUESSV30 reference portfolio | VND100bn shadow mandate | 30-Sep-2026</x:v>
      </x:c>
    </x:row>
    <x:row r="5">
      <x:c r="C5" s="22" t="str">
        <x:v>RISK COMMITTEE VIEW</x:v>
      </x:c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</x:row>
    <x:row r="7">
      <x:c r="C7" s="8" t="str">
        <x:v>1D 99% VaR</x:v>
      </x:c>
      <x:c r="D7" s="8" t="str">
        <x:v>10D 97.5% ES</x:v>
      </x:c>
      <x:c r="E7" s="8" t="str">
        <x:v>Annualised vol</x:v>
      </x:c>
      <x:c r="F7" s="8" t="str">
        <x:v>Beta to VN30</x:v>
      </x:c>
      <x:c r="H7" s="8" t="str">
        <x:v>Backtest</x:v>
      </x:c>
      <x:c r="I7" s="8" t="str">
        <x:v>Limit breaches</x:v>
      </x:c>
      <x:c r="J7" s="8" t="str">
        <x:v>Decision</x:v>
      </x:c>
    </x:row>
    <x:row r="8">
      <x:c r="C8" s="23" t="n">
        <x:f>'Risk Detail'!D8</x:f>
        <x:v>0.03398851873999015</x:v>
      </x:c>
      <x:c r="D8" s="23" t="n">
        <x:f>'Risk Detail'!E17</x:f>
        <x:v>0.09298277008109858</x:v>
      </x:c>
      <x:c r="E8" s="23" t="n">
        <x:f>'Risk Detail'!D6</x:f>
        <x:v>0.20222787289913338</x:v>
      </x:c>
      <x:c r="F8" s="23" t="n">
        <x:f>0.9900370574008408</x:f>
        <x:v>0.9900370574008408</x:v>
      </x:c>
      <x:c r="H8" t="str">
        <x:v>2 / 250 (GREEN)</x:v>
      </x:c>
      <x:c r="I8" t="n">
        <x:f>COUNTIF(F13:F19,"BREACH")</x:f>
        <x:v>0</x:v>
      </x:c>
      <x:c r="J8" t="str">
        <x:f>IF(I8=0,"WITHIN LIMITS","MITIGATE / APPROVE EXCEPTION")</x:f>
        <x:v>WITHIN LIMITS</x:v>
      </x:c>
    </x:row>
    <x:row r="12">
      <x:c r="C12" s="8" t="str">
        <x:v>Metric</x:v>
      </x:c>
      <x:c r="D12" s="8" t="str">
        <x:v>Actual</x:v>
      </x:c>
      <x:c r="E12" s="8" t="str">
        <x:v>Limit</x:v>
      </x:c>
      <x:c r="F12" s="8" t="str">
        <x:v>Status</x:v>
      </x:c>
      <x:c r="H12" s="8" t="str">
        <x:v>Stress scenario</x:v>
      </x:c>
      <x:c r="I12" s="8" t="str">
        <x:v>Loss</x:v>
      </x:c>
      <x:c r="J12" s="8" t="str">
        <x:v>VND bn</x:v>
      </x:c>
      <x:c r="K12" s="8" t="str">
        <x:v>Interpretation</x:v>
      </x:c>
    </x:row>
    <x:row r="13">
      <x:c r="C13" t="str">
        <x:v>Largest name</x:v>
      </x:c>
      <x:c r="D13" s="15" t="n">
        <x:v>0.10617876424715053</x:v>
      </x:c>
      <x:c r="E13" s="15" t="n">
        <x:f>Assumptions!D15</x:f>
        <x:v>0.11</x:v>
      </x:c>
      <x:c r="F13" t="str">
        <x:f>IF(D13&lt;=E13,"OK","BREACH")</x:f>
        <x:v>OK</x:v>
      </x:c>
      <x:c r="H13" t="str">
        <x:v>Worst historical day</x:v>
      </x:c>
      <x:c r="I13" s="18" t="n">
        <x:v>-0.07241312924034049</x:v>
      </x:c>
      <x:c r="J13" s="24" t="n">
        <x:f>I13*Assumptions!$D$6/1000000000</x:f>
        <x:v>-7.241312924034049</x:v>
      </x:c>
      <x:c r="K13" t="str">
        <x:v>2020-03-09</x:v>
      </x:c>
    </x:row>
    <x:row r="14">
      <x:c r="C14" t="str">
        <x:v>Largest sector</x:v>
      </x:c>
      <x:c r="D14" s="15" t="n">
        <x:v>0.39832033593281335</x:v>
      </x:c>
      <x:c r="E14" s="15" t="n">
        <x:f>Assumptions!D16</x:f>
        <x:v>0.4</x:v>
      </x:c>
      <x:c r="F14" t="str">
        <x:f>IF(D14&lt;=E14,"OK","BREACH")</x:f>
        <x:v>OK</x:v>
      </x:c>
      <x:c r="H14" t="str">
        <x:v>Worst historical 5-day</x:v>
      </x:c>
      <x:c r="I14" s="18" t="n">
        <x:v>-0.15395447474889246</x:v>
      </x:c>
      <x:c r="J14" s="24" t="n">
        <x:f>I14*Assumptions!$D$6/1000000000</x:f>
        <x:v>-15.395447474889245</x:v>
      </x:c>
      <x:c r="K14" t="str">
        <x:v>2025-04-02 to 2025-04-09</x:v>
      </x:c>
    </x:row>
    <x:row r="15">
      <x:c r="C15" t="str">
        <x:v>Top five</x:v>
      </x:c>
      <x:c r="D15" s="15" t="n">
        <x:v>0.39952009598080374</x:v>
      </x:c>
      <x:c r="E15" s="15" t="n">
        <x:f>Assumptions!D17</x:f>
        <x:v>0.45</x:v>
      </x:c>
      <x:c r="F15" t="str">
        <x:f>IF(D15&lt;=E15,"OK","BREACH")</x:f>
        <x:v>OK</x:v>
      </x:c>
      <x:c r="H15" t="str">
        <x:v>2022 deleveraging replay</x:v>
      </x:c>
      <x:c r="I15" s="18" t="n">
        <x:v>-0.41617283714216613</x:v>
      </x:c>
      <x:c r="J15" s="24" t="n">
        <x:f>I15*Assumptions!$D$6/1000000000</x:f>
        <x:v>-41.61728371421661</x:v>
      </x:c>
      <x:c r="K15" t="str">
        <x:v>Current-weight replay</x:v>
      </x:c>
    </x:row>
    <x:row r="16">
      <x:c r="C16" t="str">
        <x:v>1-day 99% VaR</x:v>
      </x:c>
      <x:c r="D16" s="15" t="n">
        <x:v>0.03398851873999015</x:v>
      </x:c>
      <x:c r="E16" s="15" t="n">
        <x:f>Assumptions!D18</x:f>
        <x:v>0.035</x:v>
      </x:c>
      <x:c r="F16" t="str">
        <x:f>IF(D16&lt;=E16,"OK","BREACH")</x:f>
        <x:v>OK</x:v>
      </x:c>
      <x:c r="H16" t="str">
        <x:v>Hypothetical sector shock</x:v>
      </x:c>
      <x:c r="I16" s="18" t="n">
        <x:v>-0.1764057188562287</x:v>
      </x:c>
      <x:c r="J16" s="24" t="n">
        <x:f>I16*Assumptions!$D$6/1000000000</x:f>
        <x:v>-17.64057188562287</x:v>
      </x:c>
      <x:c r="K16" t="str">
        <x:v>Defined sector shock vector</x:v>
      </x:c>
    </x:row>
    <x:row r="17">
      <x:c r="C17" t="str">
        <x:v>Direct 10-day 97.5% ES</x:v>
      </x:c>
      <x:c r="D17" s="15" t="n">
        <x:v>0.09298277008109858</x:v>
      </x:c>
      <x:c r="E17" s="15" t="n">
        <x:f>Assumptions!D19</x:f>
        <x:v>0.12</x:v>
      </x:c>
      <x:c r="F17" t="str">
        <x:f>IF(D17&lt;=E17,"OK","BREACH")</x:f>
        <x:v>OK</x:v>
      </x:c>
      <x:c r="H17" t="str">
        <x:v>Reverse stress threshold</x:v>
      </x:c>
      <x:c r="I17" s="18" t="n">
        <x:v>-0.1515094802550091</x:v>
      </x:c>
      <x:c r="J17" s="24" t="n">
        <x:f>I17*Assumptions!$D$6/1000000000</x:f>
        <x:v>-15.15094802550091</x:v>
      </x:c>
      <x:c r="K17" t="str">
        <x:v>VN30 shock for 15% loss</x:v>
      </x:c>
    </x:row>
    <x:row r="18">
      <x:c r="C18" t="str">
        <x:v>Max days to exit</x:v>
      </x:c>
      <x:c r="D18" s="16" t="n">
        <x:v>0.40243327671850065</x:v>
      </x:c>
      <x:c r="E18" s="16" t="n">
        <x:f>Assumptions!D20</x:f>
        <x:v>5</x:v>
      </x:c>
      <x:c r="F18" t="str">
        <x:f>IF(D18&lt;=E18,"OK","BREACH")</x:f>
        <x:v>OK</x:v>
      </x:c>
    </x:row>
    <x:row r="19">
      <x:c r="C19" t="str">
        <x:v>VaR exceptions</x:v>
      </x:c>
      <x:c r="D19" s="16" t="n">
        <x:v>2</x:v>
      </x:c>
      <x:c r="E19" s="16" t="n">
        <x:f>Assumptions!D21</x:f>
        <x:v>4</x:v>
      </x:c>
      <x:c r="F19" t="str">
        <x:f>IF(D19&lt;=E19,"OK","BREACH")</x:f>
        <x:v>OK</x:v>
      </x:c>
    </x:row>
    <x:row r="22">
      <x:c r="C22" s="8" t="str">
        <x:v>Hedge control</x:v>
      </x:c>
      <x:c r="D22" s="8" t="str">
        <x:v>Current</x:v>
      </x:c>
      <x:c r="E22" s="8" t="str">
        <x:v>Target / input</x:v>
      </x:c>
      <x:c r="F22" s="8" t="str">
        <x:v>Output</x:v>
      </x:c>
      <x:c r="H22" s="8" t="str">
        <x:v>Recommended action</x:v>
      </x:c>
      <x:c r="I22" s="8" t="str">
        <x:v>Owner</x:v>
      </x:c>
      <x:c r="J22" s="8" t="str">
        <x:v>Timing</x:v>
      </x:c>
      <x:c r="K22" s="8" t="str">
        <x:v>Rationale</x:v>
      </x:c>
    </x:row>
    <x:row r="23" ht="32" customHeight="1">
      <x:c r="C23" t="str">
        <x:v>Portfolio beta</x:v>
      </x:c>
      <x:c r="D23" s="16" t="n">
        <x:v>0.9900370574008408</x:v>
      </x:c>
      <x:c r="E23" s="16" t="n">
        <x:f>Assumptions!D9</x:f>
        <x:v>0.7</x:v>
      </x:c>
      <x:c r="F23" s="16"/>
      <x:c r="H23" s="26" t="str">
        <x:v>Retain unhedged exposure under current risk budget</x:v>
      </x:c>
      <x:c r="I23" t="str">
        <x:v>Risk Committee</x:v>
      </x:c>
      <x:c r="J23" t="str">
        <x:v>At next review</x:v>
      </x:c>
      <x:c r="K23" s="26" t="str">
        <x:v>Direct 10-day ES is below the 12% limit</x:v>
      </x:c>
    </x:row>
    <x:row r="24" ht="32" customHeight="1">
      <x:c r="C24" t="str">
        <x:v>Contract notional</x:v>
      </x:c>
      <x:c r="D24" s="25" t="n">
        <x:f>Assumptions!D7*Assumptions!D8</x:f>
        <x:v>190681000</x:v>
      </x:c>
      <x:c r="H24" s="26" t="str">
        <x:v>Keep beta 0.70 overlay as an approved contingency</x:v>
      </x:c>
      <x:c r="I24" t="str">
        <x:v>Portfolio Manager</x:v>
      </x:c>
      <x:c r="J24" t="str">
        <x:v>If risk appetite changes</x:v>
      </x:c>
      <x:c r="K24" s="26" t="str">
        <x:v>152 contracts is index-equivalent, not an order</x:v>
      </x:c>
    </x:row>
    <x:row r="25" ht="32" customHeight="1">
      <x:c r="C25" t="str">
        <x:v>Short contracts</x:v>
      </x:c>
      <x:c r="F25" s="17" t="n">
        <x:f>ROUND(MAX(0,(D23-E23)*Assumptions!D6/D24),0)</x:f>
        <x:v>152</x:v>
      </x:c>
      <x:c r="H25" s="26" t="str">
        <x:v>Monitor VIC, Financials and the sqrt-time challenge</x:v>
      </x:c>
      <x:c r="I25" t="str">
        <x:v>Risk</x:v>
      </x:c>
      <x:c r="J25" t="str">
        <x:v>Daily</x:v>
      </x:c>
      <x:c r="K25" s="26" t="str">
        <x:v>Direct ES passes; conservative scaling remains above the limit</x:v>
      </x:c>
    </x:row>
    <x:row r="26">
      <x:c r="C26" t="str">
        <x:v>Residual beta</x:v>
      </x:c>
      <x:c r="F26" s="16" t="n">
        <x:f>D23-F25*D24/Assumptions!D6</x:f>
        <x:v>0.7002019374008408</x:v>
      </x:c>
    </x:row>
  </x:sheetData>
  <x:conditionalFormatting sqref="F13:F19">
    <x:cfRule type="containsText" dxfId="0" priority="1" operator="containsText" text="BREACH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B9A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28" hidden="0" customWidth="1"/>
    <x:col min="4" max="4" width="33" hidden="0" customWidth="1"/>
    <x:col min="5" max="5" width="58" hidden="0" customWidth="1"/>
  </x:cols>
  <x:sheetData>
    <x:row r="1"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C2" s="3" t="str">
        <x:v>Assumptions &amp; Risk Limits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C3" s="4" t="str">
        <x:v>Blue cells are live inputs. Python-generated risk snapshots are labelled separately.</x:v>
      </x:c>
    </x:row>
    <x:row r="5">
      <x:c r="C5" s="8" t="str">
        <x:v>Input</x:v>
      </x:c>
      <x:c r="D5" s="8" t="str">
        <x:v>Value</x:v>
      </x:c>
      <x:c r="E5" s="8" t="str">
        <x:v>Notes</x:v>
      </x:c>
    </x:row>
    <x:row r="6">
      <x:c r="C6" t="str">
        <x:v>Shadow NAV (VND)</x:v>
      </x:c>
      <x:c r="D6" s="11" t="n">
        <x:v>100000000000</x:v>
      </x:c>
      <x:c r="E6" t="str">
        <x:v>Independent shadow mandate</x:v>
      </x:c>
    </x:row>
    <x:row r="7">
      <x:c r="C7" t="str">
        <x:v>VN30 index level proxy</x:v>
      </x:c>
      <x:c r="D7" s="11" t="n">
        <x:v>1906.81</x:v>
      </x:c>
      <x:c r="E7" t="str">
        <x:v>Replace with selected futures settlement before execution</x:v>
      </x:c>
    </x:row>
    <x:row r="8">
      <x:c r="C8" t="str">
        <x:v>Contract multiplier</x:v>
      </x:c>
      <x:c r="D8" s="11" t="n">
        <x:v>100000</x:v>
      </x:c>
      <x:c r="E8" t="str">
        <x:v>HNX contract specification</x:v>
      </x:c>
    </x:row>
    <x:row r="9">
      <x:c r="C9" t="str">
        <x:v>Target beta</x:v>
      </x:c>
      <x:c r="D9" s="12" t="n">
        <x:v>0.7</x:v>
      </x:c>
      <x:c r="E9" t="str">
        <x:v>Risk committee control</x:v>
      </x:c>
    </x:row>
    <x:row r="10">
      <x:c r="C10" t="str">
        <x:v>Liquidity participation</x:v>
      </x:c>
      <x:c r="D10" s="12" t="n">
        <x:v>0.2</x:v>
      </x:c>
      <x:c r="E10" t="str">
        <x:v>Share of trailing median traded value</x:v>
      </x:c>
    </x:row>
    <x:row r="11">
      <x:c r="C11" t="str">
        <x:v>Stress liquidity participation</x:v>
      </x:c>
      <x:c r="D11" s="12" t="n">
        <x:v>0.1</x:v>
      </x:c>
      <x:c r="E11" t="str">
        <x:v>Applied with the volume haircut</x:v>
      </x:c>
    </x:row>
    <x:row r="12">
      <x:c r="C12" t="str">
        <x:v>Stress volume haircut</x:v>
      </x:c>
      <x:c r="D12" s="12" t="n">
        <x:v>0.5</x:v>
      </x:c>
      <x:c r="E12" t="str">
        <x:v>Reduction to trailing median traded value</x:v>
      </x:c>
    </x:row>
    <x:row r="13">
      <x:c r="C13" t="str">
        <x:v>Initial margin rate</x:v>
      </x:c>
      <x:c r="D13" s="12" t="n">
        <x:v>0.17</x:v>
      </x:c>
      <x:c r="E13" t="str">
        <x:v>VSDC minimum effective 18-Sep-2026; broker may be higher</x:v>
      </x:c>
    </x:row>
    <x:row r="14">
      <x:c r="C14" t="str">
        <x:v>Stress margin multiplier</x:v>
      </x:c>
      <x:c r="D14" s="13" t="n">
        <x:v>1.5</x:v>
      </x:c>
      <x:c r="E14" t="str">
        <x:v>Liquidity buffer applied to initial margin</x:v>
      </x:c>
    </x:row>
    <x:row r="15">
      <x:c r="C15" t="str">
        <x:v>Single-name limit</x:v>
      </x:c>
      <x:c r="D15" s="12" t="n">
        <x:v>0.11</x:v>
      </x:c>
      <x:c r="E15" t="str">
        <x:v>Weight / NAV</x:v>
      </x:c>
    </x:row>
    <x:row r="16">
      <x:c r="C16" t="str">
        <x:v>Sector limit</x:v>
      </x:c>
      <x:c r="D16" s="12" t="n">
        <x:v>0.4</x:v>
      </x:c>
      <x:c r="E16" t="str">
        <x:v>Weight / NAV</x:v>
      </x:c>
    </x:row>
    <x:row r="17">
      <x:c r="C17" t="str">
        <x:v>Top-five limit</x:v>
      </x:c>
      <x:c r="D17" s="12" t="n">
        <x:v>0.45</x:v>
      </x:c>
      <x:c r="E17" t="str">
        <x:v>Weight / NAV</x:v>
      </x:c>
    </x:row>
    <x:row r="18">
      <x:c r="C18" t="str">
        <x:v>1-day 99% VaR limit</x:v>
      </x:c>
      <x:c r="D18" s="12" t="n">
        <x:v>0.035</x:v>
      </x:c>
      <x:c r="E18" t="str">
        <x:v>Loss / NAV</x:v>
      </x:c>
    </x:row>
    <x:row r="19">
      <x:c r="C19" t="str">
        <x:v>10-day 97.5% ES limit</x:v>
      </x:c>
      <x:c r="D19" s="12" t="n">
        <x:v>0.12</x:v>
      </x:c>
      <x:c r="E19" t="str">
        <x:v>Loss / NAV</x:v>
      </x:c>
    </x:row>
    <x:row r="20">
      <x:c r="C20" t="str">
        <x:v>Max days to exit</x:v>
      </x:c>
      <x:c r="D20" s="14" t="n">
        <x:v>5</x:v>
      </x:c>
      <x:c r="E20" t="str">
        <x:v>Trading days</x:v>
      </x:c>
    </x:row>
    <x:row r="21">
      <x:c r="C21" t="str">
        <x:v>Green-zone max exceptions</x:v>
      </x:c>
      <x:c r="D21" s="14" t="n">
        <x:v>4</x:v>
      </x:c>
      <x:c r="E21" t="str">
        <x:v>Latest 250 forecasts</x:v>
      </x:c>
    </x:row>
    <x:row r="24">
      <x:c r="C24" s="8" t="str">
        <x:v>Model convention</x:v>
      </x:c>
      <x:c r="D24" s="8" t="str">
        <x:v>Setting</x:v>
      </x:c>
      <x:c r="E24" s="8" t="str">
        <x:v>Rationale</x:v>
      </x:c>
    </x:row>
    <x:row r="25">
      <x:c r="C25" t="str">
        <x:v>Primary window</x:v>
      </x:c>
      <x:c r="D25" t="str">
        <x:v>500 trading days</x:v>
      </x:c>
      <x:c r="E25" t="str">
        <x:v>Stable covariance and tail estimate</x:v>
      </x:c>
    </x:row>
    <x:row r="26">
      <x:c r="C26" t="str">
        <x:v>Recent window</x:v>
      </x:c>
      <x:c r="D26" t="str">
        <x:v>250 trading days</x:v>
      </x:c>
      <x:c r="E26" t="str">
        <x:v>Responsive comparison</x:v>
      </x:c>
    </x:row>
    <x:row r="27">
      <x:c r="C27" t="str">
        <x:v>Return type</x:v>
      </x:c>
      <x:c r="D27" t="str">
        <x:v>Adjusted close log return</x:v>
      </x:c>
      <x:c r="E27" t="str">
        <x:v>Corporate-action aware</x:v>
      </x:c>
    </x:row>
    <x:row r="28">
      <x:c r="C28" t="str">
        <x:v>Short history</x:v>
      </x:c>
      <x:c r="D28" t="str">
        <x:v>Sector proxy plus peer-median volatility floor</x:v>
      </x:c>
      <x:c r="E28" t="str">
        <x:v>TCX (500d/250d), VPL (500d)</x:v>
      </x:c>
    </x:row>
    <x:row r="29">
      <x:c r="C29" t="str">
        <x:v>Validation label</x:v>
      </x:c>
      <x:c r="D29" t="str">
        <x:v>Rolling current-weight diagnostic</x:v>
      </x:c>
      <x:c r="E29" t="str">
        <x:v>No future returns, but not realised fund P&amp;L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F7F99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52.33000183105469" hidden="0" customWidth="1"/>
    <x:col min="4" max="4" width="24" hidden="0" customWidth="1"/>
    <x:col min="5" max="5" width="6.21999979019165" hidden="0" customWidth="1"/>
    <x:col min="6" max="6" width="18" hidden="0" customWidth="1"/>
    <x:col min="7" max="7" width="18" hidden="0" customWidth="1"/>
    <x:col min="8" max="8" width="18" hidden="0" customWidth="1"/>
    <x:col min="10" max="10" width="18" hidden="0" customWidth="1"/>
    <x:col min="11" max="11" width="6.21999979019165" hidden="0" customWidth="1"/>
    <x:col min="12" max="12" width="9.4399995803833" hidden="0" customWidth="1"/>
    <x:col min="14" max="14" width="4.889999866485596" hidden="0" customWidth="1"/>
  </x:cols>
  <x:sheetData>
    <x:row r="1"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C2" s="3" t="str">
        <x:v>Risk Detail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C3" s="4" t="str">
        <x:v>Python risk-engine snapshot as of 30-Sep-2026; positive VaR/ES values represent loss.</x:v>
      </x:c>
    </x:row>
    <x:row r="5">
      <x:c r="C5" s="8" t="str">
        <x:v>Risk metric</x:v>
      </x:c>
      <x:c r="D5" s="8" t="str">
        <x:v>500-day</x:v>
      </x:c>
      <x:c r="E5" s="8" t="str">
        <x:v>250-day</x:v>
      </x:c>
      <x:c r="F5" s="8" t="str">
        <x:v>Unit</x:v>
      </x:c>
    </x:row>
    <x:row r="6">
      <x:c r="C6" t="str">
        <x:v>Annualised volatility</x:v>
      </x:c>
      <x:c r="D6" s="15" t="n">
        <x:v>0.20222787289913338</x:v>
      </x:c>
      <x:c r="E6" s="15" t="n">
        <x:v>0.206290816601598</x:v>
      </x:c>
      <x:c r="F6" t="str">
        <x:v>% NAV</x:v>
      </x:c>
    </x:row>
    <x:row r="7">
      <x:c r="C7" t="str">
        <x:v>Historical VaR 95%</x:v>
      </x:c>
      <x:c r="D7" s="15" t="n">
        <x:v>0.018102514866438664</x:v>
      </x:c>
      <x:c r="E7" s="15" t="n">
        <x:v>0.020510217642874477</x:v>
      </x:c>
      <x:c r="F7" t="str">
        <x:v>% NAV</x:v>
      </x:c>
    </x:row>
    <x:row r="8">
      <x:c r="C8" t="str">
        <x:v>Historical VaR 99%</x:v>
      </x:c>
      <x:c r="D8" s="15" t="n">
        <x:v>0.03398851873999015</x:v>
      </x:c>
      <x:c r="E8" s="15" t="n">
        <x:v>0.03252000351180022</x:v>
      </x:c>
      <x:c r="F8" t="str">
        <x:v>% NAV</x:v>
      </x:c>
    </x:row>
    <x:row r="9">
      <x:c r="C9" t="str">
        <x:v>Historical ES 97.5%</x:v>
      </x:c>
      <x:c r="D9" s="15" t="n">
        <x:v>0.04156568350914786</x:v>
      </x:c>
      <x:c r="E9" s="15" t="n">
        <x:v>0.038898248146350234</x:v>
      </x:c>
      <x:c r="F9" t="str">
        <x:v>% NAV</x:v>
      </x:c>
    </x:row>
    <x:row r="10">
      <x:c r="C10" t="str">
        <x:v>Historical ES 99%</x:v>
      </x:c>
      <x:c r="D10" s="15" t="n">
        <x:v>0.062012360539085945</x:v>
      </x:c>
      <x:c r="E10" s="15" t="n">
        <x:v>0.05185100267929</x:v>
      </x:c>
      <x:c r="F10" t="str">
        <x:v>% NAV</x:v>
      </x:c>
    </x:row>
    <x:row r="11">
      <x:c r="C11" t="str">
        <x:v>Parametric VaR 99%</x:v>
      </x:c>
      <x:c r="D11" s="15" t="n">
        <x:v>0.028725429963718987</x:v>
      </x:c>
      <x:c r="E11" s="15" t="n">
        <x:v>0.029902804145761207</x:v>
      </x:c>
      <x:c r="F11" t="str">
        <x:v>% NAV</x:v>
      </x:c>
    </x:row>
    <x:row r="12">
      <x:c r="C12" t="str">
        <x:v>Cornish-Fisher VaR 99%</x:v>
      </x:c>
      <x:c r="D12" s="15" t="n">
        <x:v>0.04165451681355335</x:v>
      </x:c>
      <x:c r="E12" s="15" t="n">
        <x:v>0.03326802061295951</x:v>
      </x:c>
      <x:c r="F12" t="str">
        <x:v>% NAV</x:v>
      </x:c>
    </x:row>
    <x:row r="13">
      <x:c r="C13" t="str">
        <x:v>EWMA volatility (lambda 0.94)</x:v>
      </x:c>
      <x:c r="D13" s="15" t="n">
        <x:v>0.14229642489394853</x:v>
      </x:c>
      <x:c r="E13" s="15" t="n">
        <x:v>0.14196664814659257</x:v>
      </x:c>
      <x:c r="F13" t="str">
        <x:v>% NAV</x:v>
      </x:c>
    </x:row>
    <x:row r="14">
      <x:c r="C14" t="str">
        <x:v>Skewness</x:v>
      </x:c>
      <x:c r="D14" s="16" t="n">
        <x:v>-0.7971342656315831</x:v>
      </x:c>
      <x:c r="E14" s="16" t="n">
        <x:v>-0.6822895134461118</x:v>
      </x:c>
      <x:c r="F14" t="str">
        <x:v>x</x:v>
      </x:c>
    </x:row>
    <x:row r="15">
      <x:c r="C15" t="str">
        <x:v>Excess kurtosis</x:v>
      </x:c>
      <x:c r="D15" s="16" t="n">
        <x:v>7.871191829571641</x:v>
      </x:c>
      <x:c r="E15" s="16" t="n">
        <x:v>4.00299451712184</x:v>
      </x:c>
      <x:c r="F15" t="str">
        <x:v>x</x:v>
      </x:c>
    </x:row>
    <x:row r="16">
      <x:c r="C16" t="str">
        <x:v>Observations</x:v>
      </x:c>
      <x:c r="D16" s="17" t="n">
        <x:v>500</x:v>
      </x:c>
      <x:c r="E16" s="17" t="n">
        <x:v>250</x:v>
      </x:c>
      <x:c r="F16" t="str">
        <x:v>days</x:v>
      </x:c>
    </x:row>
    <x:row r="17">
      <x:c r="C17" t="str">
        <x:v>Direct overlapping 10-day ES 97.5%</x:v>
      </x:c>
      <x:c r="D17" s="15"/>
      <x:c r="E17" s="15" t="n">
        <x:v>0.09298277008109858</x:v>
      </x:c>
      <x:c r="F17" t="str">
        <x:v>% NAV</x:v>
      </x:c>
    </x:row>
    <x:row r="18">
      <x:c r="C18" t="str">
        <x:v>Sqrt-time 10-day ES 97.5% challenge</x:v>
      </x:c>
      <x:c r="D18" s="15"/>
      <x:c r="E18" s="15" t="n">
        <x:v>0.12300706113288942</x:v>
      </x:c>
      <x:c r="F18" t="str">
        <x:v>% NAV</x:v>
      </x:c>
    </x:row>
    <x:row r="20" ht="28" customHeight="1">
      <x:c r="C20" s="19" t="str">
        <x:v>Ticker</x:v>
      </x:c>
      <x:c r="D20" s="19" t="str">
        <x:v>Sector</x:v>
      </x:c>
      <x:c r="E20" s="19" t="str">
        <x:v>Weight</x:v>
      </x:c>
      <x:c r="F20" s="19" t="str">
        <x:v>Vol contribution</x:v>
      </x:c>
      <x:c r="G20" s="19" t="str">
        <x:v>Share of risk</x:v>
      </x:c>
      <x:c r="H20" s="19" t="str">
        <x:v>Component VaR</x:v>
      </x:c>
      <x:c r="J20" s="8" t="str">
        <x:v>Sector</x:v>
      </x:c>
      <x:c r="K20" s="8" t="str">
        <x:v>Weight</x:v>
      </x:c>
      <x:c r="L20" s="8" t="str">
        <x:v>Share of risk</x:v>
      </x:c>
      <x:c r="N20" t="str">
        <x:v>Ticker</x:v>
      </x:c>
      <x:c r="O20" t="str">
        <x:v>Share of risk</x:v>
      </x:c>
    </x:row>
    <x:row r="21">
      <x:c r="C21" t="str">
        <x:v>VIC</x:v>
      </x:c>
      <x:c r="D21" t="str">
        <x:v>Real Estate</x:v>
      </x:c>
      <x:c r="E21" s="15" t="n">
        <x:v>0.10617876424715053</x:v>
      </x:c>
      <x:c r="F21" s="15" t="n">
        <x:v>0.027380671425760447</x:v>
      </x:c>
      <x:c r="G21" s="15" t="n">
        <x:v>0.13539514129893115</x:v>
      </x:c>
      <x:c r="H21" s="15" t="n">
        <x:v>0.003889283648810283</x:v>
      </x:c>
      <x:c r="J21" t="str">
        <x:v>Financials</x:v>
      </x:c>
      <x:c r="K21" s="15" t="n">
        <x:v>0.3983203359328133</x:v>
      </x:c>
      <x:c r="L21" s="15" t="n">
        <x:v>0.38569616065369694</x:v>
      </x:c>
      <x:c r="N21" t="str">
        <x:v>VIC</x:v>
      </x:c>
      <x:c r="O21" s="18" t="n">
        <x:v>0.13539514129893115</x:v>
      </x:c>
    </x:row>
    <x:row r="22">
      <x:c r="C22" t="str">
        <x:v>HPG</x:v>
      </x:c>
      <x:c r="D22" t="str">
        <x:v>Materials</x:v>
      </x:c>
      <x:c r="E22" s="15" t="n">
        <x:v>0.08718256348730252</x:v>
      </x:c>
      <x:c r="F22" s="15" t="n">
        <x:v>0.016868048556804776</x:v>
      </x:c>
      <x:c r="G22" s="15" t="n">
        <x:v>0.08341109618068414</x:v>
      </x:c>
      <x:c r="H22" s="15" t="n">
        <x:v>0.0023960196015352705</x:v>
      </x:c>
      <x:c r="J22" t="str">
        <x:v>Real Estate</x:v>
      </x:c>
      <x:c r="K22" s="15" t="n">
        <x:v>0.1687662467506498</x:v>
      </x:c>
      <x:c r="L22" s="15" t="n">
        <x:v>0.21848408298738317</x:v>
      </x:c>
      <x:c r="N22" t="str">
        <x:v>HPG</x:v>
      </x:c>
      <x:c r="O22" s="18" t="n">
        <x:v>0.08341109618068414</x:v>
      </x:c>
    </x:row>
    <x:row r="23">
      <x:c r="C23" t="str">
        <x:v>MWG</x:v>
      </x:c>
      <x:c r="D23" t="str">
        <x:v>Consumer Discretionary</x:v>
      </x:c>
      <x:c r="E23" s="15" t="n">
        <x:v>0.06838632273545289</x:v>
      </x:c>
      <x:c r="F23" s="15" t="n">
        <x:v>0.01676485833766324</x:v>
      </x:c>
      <x:c r="G23" s="15" t="n">
        <x:v>0.08290082913558199</x:v>
      </x:c>
      <x:c r="H23" s="15" t="n">
        <x:v>0.0023813619612683946</x:v>
      </x:c>
      <x:c r="J23" t="str">
        <x:v>Consumer Staples</x:v>
      </x:c>
      <x:c r="K23" s="15" t="n">
        <x:v>0.13007398520295937</x:v>
      </x:c>
      <x:c r="L23" s="15" t="n">
        <x:v>0.10389768785492683</x:v>
      </x:c>
      <x:c r="N23" t="str">
        <x:v>MWG</x:v>
      </x:c>
      <x:c r="O23" s="18" t="n">
        <x:v>0.08290082913558199</x:v>
      </x:c>
    </x:row>
    <x:row r="24">
      <x:c r="C24" t="str">
        <x:v>FPT</x:v>
      </x:c>
      <x:c r="D24" t="str">
        <x:v>Information Technology</x:v>
      </x:c>
      <x:c r="E24" s="15" t="n">
        <x:v>0.08618276344731052</x:v>
      </x:c>
      <x:c r="F24" s="15" t="n">
        <x:v>0.01588341174499531</x:v>
      </x:c>
      <x:c r="G24" s="15" t="n">
        <x:v>0.07854214909790204</x:v>
      </x:c>
      <x:c r="H24" s="15" t="n">
        <x:v>0.0022561570031117595</x:v>
      </x:c>
      <x:c r="J24" t="str">
        <x:v>Consumer Discretionary</x:v>
      </x:c>
      <x:c r="K24" s="15" t="n">
        <x:v>0.0738852229554089</x:v>
      </x:c>
      <x:c r="L24" s="15" t="n">
        <x:v>0.0895668314783554</x:v>
      </x:c>
      <x:c r="N24" t="str">
        <x:v>FPT</x:v>
      </x:c>
      <x:c r="O24" s="18" t="n">
        <x:v>0.07854214909790204</x:v>
      </x:c>
    </x:row>
    <x:row r="25">
      <x:c r="C25" t="str">
        <x:v>VHM</x:v>
      </x:c>
      <x:c r="D25" t="str">
        <x:v>Real Estate</x:v>
      </x:c>
      <x:c r="E25" s="15" t="n">
        <x:v>0.043691261747650464</x:v>
      </x:c>
      <x:c r="F25" s="15" t="n">
        <x:v>0.011870685688785222</x:v>
      </x:c>
      <x:c r="G25" s="15" t="n">
        <x:v>0.05869955273033037</x:v>
      </x:c>
      <x:c r="H25" s="15" t="n">
        <x:v>0.0016861698908567347</x:v>
      </x:c>
      <x:c r="J25" t="str">
        <x:v>Materials</x:v>
      </x:c>
      <x:c r="K25" s="15" t="n">
        <x:v>0.09168166366726653</x:v>
      </x:c>
      <x:c r="L25" s="15" t="n">
        <x:v>0.0877580150621443</x:v>
      </x:c>
      <x:c r="N25" t="str">
        <x:v>VHM</x:v>
      </x:c>
      <x:c r="O25" s="18" t="n">
        <x:v>0.05869955273033037</x:v>
      </x:c>
    </x:row>
    <x:row r="26">
      <x:c r="C26" t="str">
        <x:v>VPB</x:v>
      </x:c>
      <x:c r="D26" t="str">
        <x:v>Financials</x:v>
      </x:c>
      <x:c r="E26" s="15" t="n">
        <x:v>0.04719056188762247</x:v>
      </x:c>
      <x:c r="F26" s="15" t="n">
        <x:v>0.011384192840630516</x:v>
      </x:c>
      <x:c r="G26" s="15" t="n">
        <x:v>0.05629388608715029</x:v>
      </x:c>
      <x:c r="H26" s="15" t="n">
        <x:v>0.0016170660821820102</x:v>
      </x:c>
      <x:c r="J26" t="str">
        <x:v>Information Technology</x:v>
      </x:c>
      <x:c r="K26" s="15" t="n">
        <x:v>0.08618276344731052</x:v>
      </x:c>
      <x:c r="L26" s="15" t="n">
        <x:v>0.07854214909790204</x:v>
      </x:c>
      <x:c r="N26" t="str">
        <x:v>VPB</x:v>
      </x:c>
      <x:c r="O26" s="18" t="n">
        <x:v>0.05629388608715029</x:v>
      </x:c>
    </x:row>
    <x:row r="27">
      <x:c r="C27" t="str">
        <x:v>TCB</x:v>
      </x:c>
      <x:c r="D27" t="str">
        <x:v>Financials</x:v>
      </x:c>
      <x:c r="E27" s="15" t="n">
        <x:v>0.04649070185962807</x:v>
      </x:c>
      <x:c r="F27" s="15" t="n">
        <x:v>0.010680410498562812</x:v>
      </x:c>
      <x:c r="G27" s="15" t="n">
        <x:v>0.05281374098163985</x:v>
      </x:c>
      <x:c r="H27" s="15" t="n">
        <x:v>0.0015170974176900909</x:v>
      </x:c>
      <x:c r="J27" t="str">
        <x:v>Industrials</x:v>
      </x:c>
      <x:c r="K27" s="15" t="n">
        <x:v>0.03029394121175764</x:v>
      </x:c>
      <x:c r="L27" s="15" t="n">
        <x:v>0.02348229596654627</x:v>
      </x:c>
      <x:c r="N27" t="str">
        <x:v>TCB</x:v>
      </x:c>
      <x:c r="O27" s="18" t="n">
        <x:v>0.05281374098163985</x:v>
      </x:c>
    </x:row>
    <x:row r="28">
      <x:c r="C28" t="str">
        <x:v>MSN</x:v>
      </x:c>
      <x:c r="D28" t="str">
        <x:v>Consumer Staples</x:v>
      </x:c>
      <x:c r="E28" s="15" t="n">
        <x:v>0.05158968206358727</x:v>
      </x:c>
      <x:c r="F28" s="15" t="n">
        <x:v>0.01024471958978857</x:v>
      </x:c>
      <x:c r="G28" s="15" t="n">
        <x:v>0.05065928570043559</x:v>
      </x:c>
      <x:c r="H28" s="15" t="n">
        <x:v>0.0014552097633998933</x:v>
      </x:c>
      <x:c r="J28" t="str">
        <x:v>Energy</x:v>
      </x:c>
      <x:c r="K28" s="15" t="n">
        <x:v>0.010697860427914416</x:v>
      </x:c>
      <x:c r="L28" s="15" t="n">
        <x:v>0.007655262325035371</x:v>
      </x:c>
      <x:c r="N28" t="str">
        <x:v>MSN</x:v>
      </x:c>
      <x:c r="O28" s="18" t="n">
        <x:v>0.05065928570043559</x:v>
      </x:c>
    </x:row>
    <x:row r="29">
      <x:c r="C29" t="str">
        <x:v>STB</x:v>
      </x:c>
      <x:c r="D29" t="str">
        <x:v>Financials</x:v>
      </x:c>
      <x:c r="E29" s="15" t="n">
        <x:v>0.04859028194361127</x:v>
      </x:c>
      <x:c r="F29" s="15" t="n">
        <x:v>0.009248959416562352</x:v>
      </x:c>
      <x:c r="G29" s="15" t="n">
        <x:v>0.04573533452124833</x:v>
      </x:c>
      <x:c r="H29" s="15" t="n">
        <x:v>0.0013137671486573783</x:v>
      </x:c>
      <x:c r="J29" t="str">
        <x:v>Utilities</x:v>
      </x:c>
      <x:c r="K29" s="15" t="n">
        <x:v>0.008398320335932812</x:v>
      </x:c>
      <x:c r="L29" s="15" t="n">
        <x:v>0.0049175145740107335</x:v>
      </x:c>
      <x:c r="N29" t="str">
        <x:v>STB</x:v>
      </x:c>
      <x:c r="O29" s="18" t="n">
        <x:v>0.04573533452124833</x:v>
      </x:c>
    </x:row>
    <x:row r="30">
      <x:c r="C30" t="str">
        <x:v>HDB</x:v>
      </x:c>
      <x:c r="D30" t="str">
        <x:v>Financials</x:v>
      </x:c>
      <x:c r="E30" s="15" t="n">
        <x:v>0.040391921615676854</x:v>
      </x:c>
      <x:c r="F30" s="15" t="n">
        <x:v>0.009145604568936334</x:v>
      </x:c>
      <x:c r="G30" s="15" t="n">
        <x:v>0.04522425340199249</x:v>
      </x:c>
      <x:c r="H30" s="15" t="n">
        <x:v>0.0012990861237604154</x:v>
      </x:c>
      <x:c r="N30" t="str">
        <x:v>HDB</x:v>
      </x:c>
      <x:c r="O30" s="18" t="n">
        <x:v>0.04522425340199249</x:v>
      </x:c>
    </x:row>
    <x:row r="31">
      <x:c r="C31" t="str">
        <x:v>MBB</x:v>
      </x:c>
      <x:c r="D31" t="str">
        <x:v>Financials</x:v>
      </x:c>
      <x:c r="E31" s="15" t="n">
        <x:v>0.03629274145170965</x:v>
      </x:c>
      <x:c r="F31" s="15" t="n">
        <x:v>0.007175421892214744</x:v>
      </x:c>
      <x:c r="G31" s="15" t="n">
        <x:v>0.035481864044496395</x:v>
      </x:c>
      <x:c r="H31" s="15" t="n">
        <x:v>0.0010192318005923802</x:v>
      </x:c>
    </x:row>
    <x:row r="32">
      <x:c r="C32" t="str">
        <x:v>ACB</x:v>
      </x:c>
      <x:c r="D32" t="str">
        <x:v>Financials</x:v>
      </x:c>
      <x:c r="E32" s="15" t="n">
        <x:v>0.03819236152769445</x:v>
      </x:c>
      <x:c r="F32" s="15" t="n">
        <x:v>0.006601269034562786</x:v>
      </x:c>
      <x:c r="G32" s="15" t="n">
        <x:v>0.032642725950321146</x:v>
      </x:c>
      <x:c r="H32" s="15" t="n">
        <x:v>0.0009376763381108224</x:v>
      </x:c>
    </x:row>
    <x:row r="33">
      <x:c r="C33" t="str">
        <x:v>LPB</x:v>
      </x:c>
      <x:c r="D33" t="str">
        <x:v>Financials</x:v>
      </x:c>
      <x:c r="E33" s="15" t="n">
        <x:v>0.04339132173565286</x:v>
      </x:c>
      <x:c r="F33" s="15" t="n">
        <x:v>0.006067119030301997</x:v>
      </x:c>
      <x:c r="G33" s="15" t="n">
        <x:v>0.030001398636715814</x:v>
      </x:c>
      <x:c r="H33" s="15" t="n">
        <x:v>0.0008618030753525945</x:v>
      </x:c>
    </x:row>
    <x:row r="34">
      <x:c r="C34" t="str">
        <x:v>VNM</x:v>
      </x:c>
      <x:c r="D34" t="str">
        <x:v>Consumer Staples</x:v>
      </x:c>
      <x:c r="E34" s="15" t="n">
        <x:v>0.04239152169566086</x:v>
      </x:c>
      <x:c r="F34" s="15" t="n">
        <x:v>0.0053831734821374495</x:v>
      </x:c>
      <x:c r="G34" s="15" t="n">
        <x:v>0.026619344826034216</x:v>
      </x:c>
      <x:c r="H34" s="15" t="n">
        <x:v>0.0007646521254803313</x:v>
      </x:c>
    </x:row>
    <x:row r="35">
      <x:c r="C35" t="str">
        <x:v>VRE</x:v>
      </x:c>
      <x:c r="D35" t="str">
        <x:v>Real Estate</x:v>
      </x:c>
      <x:c r="E35" s="15" t="n">
        <x:v>0.018896220755848826</x:v>
      </x:c>
      <x:c r="F35" s="15" t="n">
        <x:v>0.004932214250310548</x:v>
      </x:c>
      <x:c r="G35" s="15" t="n">
        <x:v>0.02438938895812164</x:v>
      </x:c>
      <x:c r="H35" s="15" t="n">
        <x:v>0.0007005956843744244</x:v>
      </x:c>
    </x:row>
    <x:row r="36">
      <x:c r="C36" t="str">
        <x:v>MCH</x:v>
      </x:c>
      <x:c r="D36" t="str">
        <x:v>Consumer Staples</x:v>
      </x:c>
      <x:c r="E36" s="15" t="n">
        <x:v>0.030993801239752043</x:v>
      </x:c>
      <x:c r="F36" s="15" t="n">
        <x:v>0.0048408490724630064</x:v>
      </x:c>
      <x:c r="G36" s="15" t="n">
        <x:v>0.023937595758016565</x:v>
      </x:c>
      <x:c r="H36" s="15" t="n">
        <x:v>0.0006876177304467215</x:v>
      </x:c>
    </x:row>
    <x:row r="37">
      <x:c r="C37" t="str">
        <x:v>VJC</x:v>
      </x:c>
      <x:c r="D37" t="str">
        <x:v>Industrials</x:v>
      </x:c>
      <x:c r="E37" s="15" t="n">
        <x:v>0.03029394121175764</x:v>
      </x:c>
      <x:c r="F37" s="15" t="n">
        <x:v>0.004748774764102549</x:v>
      </x:c>
      <x:c r="G37" s="15" t="n">
        <x:v>0.02348229596654627</x:v>
      </x:c>
      <x:c r="H37" s="15" t="n">
        <x:v>0.0006745390481743457</x:v>
      </x:c>
    </x:row>
    <x:row r="38">
      <x:c r="C38" t="str">
        <x:v>SSI</x:v>
      </x:c>
      <x:c r="D38" t="str">
        <x:v>Financials</x:v>
      </x:c>
      <x:c r="E38" s="15" t="n">
        <x:v>0.015496900619876021</x:v>
      </x:c>
      <x:c r="F38" s="15" t="n">
        <x:v>0.003848489572016185</x:v>
      </x:c>
      <x:c r="G38" s="15" t="n">
        <x:v>0.019030460622684413</x:v>
      </x:c>
      <x:c r="H38" s="15" t="n">
        <x:v>0.0005466581637942332</x:v>
      </x:c>
    </x:row>
    <x:row r="39">
      <x:c r="C39" t="str">
        <x:v>VCB</x:v>
      </x:c>
      <x:c r="D39" t="str">
        <x:v>Financials</x:v>
      </x:c>
      <x:c r="E39" s="15" t="n">
        <x:v>0.01949610077984403</x:v>
      </x:c>
      <x:c r="F39" s="15" t="n">
        <x:v>0.0029053808521620505</x:v>
      </x:c>
      <x:c r="G39" s="15" t="n">
        <x:v>0.014366866498225933</x:v>
      </x:c>
      <x:c r="H39" s="15" t="n">
        <x:v>0.0004126944173928897</x:v>
      </x:c>
    </x:row>
    <x:row r="40">
      <x:c r="C40" t="str">
        <x:v>SHB</x:v>
      </x:c>
      <x:c r="D40" t="str">
        <x:v>Financials</x:v>
      </x:c>
      <x:c r="E40" s="15" t="n">
        <x:v>0.015896820635872822</x:v>
      </x:c>
      <x:c r="F40" s="15" t="n">
        <x:v>0.0028614476594854034</x:v>
      </x:c>
      <x:c r="G40" s="15" t="n">
        <x:v>0.014149620517012651</x:v>
      </x:c>
      <x:c r="H40" s="15" t="n">
        <x:v>0.00040645393317464816</x:v>
      </x:c>
    </x:row>
    <x:row r="41">
      <x:c r="C41" t="str">
        <x:v>CTG</x:v>
      </x:c>
      <x:c r="D41" t="str">
        <x:v>Financials</x:v>
      </x:c>
      <x:c r="E41" s="15" t="n">
        <x:v>0.012797440511897618</x:v>
      </x:c>
      <x:c r="F41" s="15" t="n">
        <x:v>0.002511010157696517</x:v>
      </x:c>
      <x:c r="G41" s="15" t="n">
        <x:v>0.012416736237684467</x:v>
      </x:c>
      <x:c r="H41" s="15" t="n">
        <x:v>0.00035667608717357673</x:v>
      </x:c>
    </x:row>
    <x:row r="42">
      <x:c r="C42" t="str">
        <x:v>VIB</x:v>
      </x:c>
      <x:c r="D42" t="str">
        <x:v>Financials</x:v>
      </x:c>
      <x:c r="E42" s="15" t="n">
        <x:v>0.009998000399920014</x:v>
      </x:c>
      <x:c r="F42" s="15" t="n">
        <x:v>0.0018150726589643766</x:v>
      </x:c>
      <x:c r="G42" s="15" t="n">
        <x:v>0.008975383229539748</x:v>
      </x:c>
      <x:c r="H42" s="15" t="n">
        <x:v>0.000257821742357682</x:v>
      </x:c>
    </x:row>
    <x:row r="43">
      <x:c r="C43" t="str">
        <x:v>BSR</x:v>
      </x:c>
      <x:c r="D43" t="str">
        <x:v>Energy</x:v>
      </x:c>
      <x:c r="E43" s="15" t="n">
        <x:v>0.010697860427914416</x:v>
      </x:c>
      <x:c r="F43" s="15" t="n">
        <x:v>0.0015481074164767768</x:v>
      </x:c>
      <x:c r="G43" s="15" t="n">
        <x:v>0.007655262325035371</x:v>
      </x:c>
      <x:c r="H43" s="15" t="n">
        <x:v>0.00021990070177170014</x:v>
      </x:c>
    </x:row>
    <x:row r="44">
      <x:c r="C44" t="str">
        <x:v>TCX</x:v>
      </x:c>
      <x:c r="D44" t="str">
        <x:v>Financials</x:v>
      </x:c>
      <x:c r="E44" s="15" t="n">
        <x:v>0.005298940211957607</x:v>
      </x:c>
      <x:c r="F44" s="15" t="n">
        <x:v>0.00137763150309625</x:v>
      </x:c>
      <x:c r="G44" s="15" t="n">
        <x:v>0.006812273122129815</x:v>
      </x:c>
      <x:c r="H44" s="15" t="n">
        <x:v>0.00019568547446346528</x:v>
      </x:c>
    </x:row>
    <x:row r="45">
      <x:c r="C45" t="str">
        <x:v>VPL</x:v>
      </x:c>
      <x:c r="D45" t="str">
        <x:v>Consumer Discretionary</x:v>
      </x:c>
      <x:c r="E45" s="15" t="n">
        <x:v>0.005498900219956008</x:v>
      </x:c>
      <x:c r="F45" s="15" t="n">
        <x:v>0.0013480514745197053</x:v>
      </x:c>
      <x:c r="G45" s="15" t="n">
        <x:v>0.006666002342773407</x:v>
      </x:c>
      <x:c r="H45" s="15" t="n">
        <x:v>0.00019148378343532418</x:v>
      </x:c>
    </x:row>
    <x:row r="46">
      <x:c r="C46" t="str">
        <x:v>SSB</x:v>
      </x:c>
      <x:c r="D46" t="str">
        <x:v>Financials</x:v>
      </x:c>
      <x:c r="E46" s="15" t="n">
        <x:v>0.012597480503899217</x:v>
      </x:c>
      <x:c r="F46" s="15" t="n">
        <x:v>0.001290527455839479</x:v>
      </x:c>
      <x:c r="G46" s="15" t="n">
        <x:v>0.00638155085814093</x:v>
      </x:c>
      <x:c r="H46" s="15" t="n">
        <x:v>0.0001833127922354381</x:v>
      </x:c>
    </x:row>
    <x:row r="47">
      <x:c r="C47" t="str">
        <x:v>BID</x:v>
      </x:c>
      <x:c r="D47" t="str">
        <x:v>Financials</x:v>
      </x:c>
      <x:c r="E47" s="15" t="n">
        <x:v>0.006198760247950409</x:v>
      </x:c>
      <x:c r="F47" s="15" t="n">
        <x:v>0.0010859770133277394</x:v>
      </x:c>
      <x:c r="G47" s="15" t="n">
        <x:v>0.005370065944714753</x:v>
      </x:c>
      <x:c r="H47" s="15" t="n">
        <x:v>0.00015425745319545608</x:v>
      </x:c>
    </x:row>
    <x:row r="48">
      <x:c r="C48" t="str">
        <x:v>GAS</x:v>
      </x:c>
      <x:c r="D48" t="str">
        <x:v>Utilities</x:v>
      </x:c>
      <x:c r="E48" s="15" t="n">
        <x:v>0.008398320335932812</x:v>
      </x:c>
      <x:c r="F48" s="15" t="n">
        <x:v>0.0009944585122526784</x:v>
      </x:c>
      <x:c r="G48" s="15" t="n">
        <x:v>0.0049175145740107335</x:v>
      </x:c>
      <x:c r="H48" s="15" t="n">
        <x:v>0.00014125772049131274</x:v>
      </x:c>
    </x:row>
    <x:row r="49">
      <x:c r="C49" t="str">
        <x:v>GVR</x:v>
      </x:c>
      <x:c r="D49" t="str">
        <x:v>Materials</x:v>
      </x:c>
      <x:c r="E49" s="15" t="n">
        <x:v>0.004499100179964007</x:v>
      </x:c>
      <x:c r="F49" s="15" t="n">
        <x:v>0.0008790681590627691</x:v>
      </x:c>
      <x:c r="G49" s="15" t="n">
        <x:v>0.004346918881460166</x:v>
      </x:c>
      <x:c r="H49" s="15" t="n">
        <x:v>0.00012486711388735167</x:v>
      </x:c>
    </x:row>
    <x:row r="50">
      <x:c r="C50" t="str">
        <x:v>SAB</x:v>
      </x:c>
      <x:c r="D50" t="str">
        <x:v>Consumer Staples</x:v>
      </x:c>
      <x:c r="E50" s="15" t="n">
        <x:v>0.0050989802039592075</x:v>
      </x:c>
      <x:c r="F50" s="15" t="n">
        <x:v>0.0005422662696509429</x:v>
      </x:c>
      <x:c r="G50" s="15" t="n">
        <x:v>0.0026814615704404557</x:v>
      </x:c>
      <x:c r="H50" s="15" t="n">
        <x:v>0.00007702613654209124</x:v>
      </x:c>
    </x:row>
  </x:sheetData>
  <x:pageMargins left="0.7" right="0.7" top="0.75" bottom="0.75" header="0.3" footer="0.3"/>
  <x:drawing xmlns:r="http://schemas.openxmlformats.org/officeDocument/2006/relationships" r:id="Re856d7e15ae847f0"/>
</x:worksheet>
</file>

<file path=xl/worksheets/sheet4.xml><?xml version="1.0" encoding="utf-8"?>
<x:worksheet xmlns:x="http://schemas.openxmlformats.org/spreadsheetml/2006/main">
  <x:sheetPr>
    <x:tabColor rgb="FF3E7C78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28" hidden="0" customWidth="1"/>
    <x:col min="4" max="4" width="18" hidden="0" customWidth="1"/>
    <x:col min="5" max="5" width="42" hidden="0" customWidth="1"/>
    <x:col min="6" max="6" width="52" hidden="0" customWidth="1"/>
    <x:col min="7" max="7" width="26" hidden="0" customWidth="1"/>
    <x:col min="8" max="8" width="26" hidden="0" customWidth="1"/>
  </x:cols>
  <x:sheetData>
    <x:row r="1"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C2" s="3" t="str">
        <x:v>VN30 Futures Hedge Analysis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C3" s="4" t="str">
        <x:v>Live sizing and margin inputs; before/after risk statistics are Python snapshots from the 500-day replay.</x:v>
      </x:c>
    </x:row>
    <x:row r="5">
      <x:c r="C5" s="8" t="str">
        <x:v>Metric</x:v>
      </x:c>
      <x:c r="D5" s="8" t="str">
        <x:v>Unhedged</x:v>
      </x:c>
      <x:c r="E5" s="8" t="str">
        <x:v>152-contract hedge</x:v>
      </x:c>
      <x:c r="F5" s="8" t="str">
        <x:v>Change</x:v>
      </x:c>
    </x:row>
    <x:row r="6">
      <x:c r="C6" t="str">
        <x:v>Annualised volatility</x:v>
      </x:c>
      <x:c r="D6" s="15" t="n">
        <x:v>0.20222787289913338</x:v>
      </x:c>
      <x:c r="E6" s="15" t="n">
        <x:v>0.1439787970541484</x:v>
      </x:c>
      <x:c r="F6" s="15" t="n">
        <x:v>-0.05824907584498498</x:v>
      </x:c>
    </x:row>
    <x:row r="7">
      <x:c r="C7" t="str">
        <x:v>Historical VaR 99%</x:v>
      </x:c>
      <x:c r="D7" s="15" t="n">
        <x:v>0.03398851873999015</x:v>
      </x:c>
      <x:c r="E7" s="15" t="n">
        <x:v>0.024624668544098234</x:v>
      </x:c>
      <x:c r="F7" s="15" t="n">
        <x:v>-0.009363850195891914</x:v>
      </x:c>
    </x:row>
    <x:row r="8">
      <x:c r="C8" t="str">
        <x:v>Historical ES 97.5%</x:v>
      </x:c>
      <x:c r="D8" s="15" t="n">
        <x:v>0.04156568350914786</x:v>
      </x:c>
      <x:c r="E8" s="15" t="n">
        <x:v>0.029666938140905045</x:v>
      </x:c>
      <x:c r="F8" s="15" t="n">
        <x:v>-0.011898745368242817</x:v>
      </x:c>
    </x:row>
    <x:row r="9">
      <x:c r="C9" t="str">
        <x:v>Tracking error</x:v>
      </x:c>
      <x:c r="D9" s="15" t="n">
        <x:v>0.023486580555784353</x:v>
      </x:c>
      <x:c r="E9" s="15" t="n">
        <x:v>0.06517187911830113</x:v>
      </x:c>
      <x:c r="F9" s="15" t="n">
        <x:v>0.04168529856251678</x:v>
      </x:c>
    </x:row>
    <x:row r="10">
      <x:c r="C10" t="str">
        <x:v>Beta to VN30</x:v>
      </x:c>
      <x:c r="D10" s="16" t="n">
        <x:v>0.9900370574008408</x:v>
      </x:c>
      <x:c r="E10" s="16" t="n">
        <x:v>0.700201937400841</x:v>
      </x:c>
      <x:c r="F10" s="16" t="n">
        <x:v>-0.2898351199999998</x:v>
      </x:c>
    </x:row>
    <x:row r="13">
      <x:c r="C13" s="8" t="str">
        <x:v>Target beta</x:v>
      </x:c>
      <x:c r="D13" s="8" t="str">
        <x:v>Hedge ratio</x:v>
      </x:c>
      <x:c r="E13" s="8" t="str">
        <x:v>Contracts</x:v>
      </x:c>
      <x:c r="F13" s="8" t="str">
        <x:v>Residual beta</x:v>
      </x:c>
      <x:c r="G13" s="8" t="str">
        <x:v>Approx. volatility</x:v>
      </x:c>
      <x:c r="H13" s="8" t="str">
        <x:v>Approx. parametric VaR 99%</x:v>
      </x:c>
    </x:row>
    <x:row r="14">
      <x:c r="C14" s="16" t="n">
        <x:v>0.9</x:v>
      </x:c>
      <x:c r="D14" s="16" t="n">
        <x:f>MAX(0,0.9900370574008408-C14)</x:f>
        <x:v>0.09003705740084078</x:v>
      </x:c>
      <x:c r="E14" t="n">
        <x:f>ROUND(D14*Assumptions!$D$6/(Assumptions!$D$7*Assumptions!$D$8),0)</x:f>
        <x:v>47</x:v>
      </x:c>
      <x:c r="F14" s="16" t="n">
        <x:f>0.9900370574008408-E14*(Assumptions!$D$7*Assumptions!$D$8)/Assumptions!$D$6</x:f>
        <x:v>0.9004169874008408</x:v>
      </x:c>
      <x:c r="G14" s="15" t="n">
        <x:f>SQRT(0.04089611257730805+D14^2*0.0411647369334598-2*D14*0.04075461502228227)</x:f>
        <x:v>0.1840950036292296</x:v>
      </x:c>
      <x:c r="H14" s="15" t="n">
        <x:f>2.326347874*G14/SQRT(252)</x:f>
        <x:v>0.02697841242774469</x:v>
      </x:c>
    </x:row>
    <x:row r="15">
      <x:c r="C15" s="16" t="n">
        <x:v>0.8</x:v>
      </x:c>
      <x:c r="D15" s="16" t="n">
        <x:f>MAX(0,0.9900370574008408-C15)</x:f>
        <x:v>0.19003705740084076</x:v>
      </x:c>
      <x:c r="E15" t="n">
        <x:f>ROUND(D15*Assumptions!$D$6/(Assumptions!$D$7*Assumptions!$D$8),0)</x:f>
        <x:v>100</x:v>
      </x:c>
      <x:c r="F15" s="16" t="n">
        <x:f>0.9900370574008408-E15*(Assumptions!$D$7*Assumptions!$D$8)/Assumptions!$D$6</x:f>
        <x:v>0.7993560574008408</x:v>
      </x:c>
      <x:c r="G15" s="15" t="n">
        <x:f>SQRT(0.04089611257730805+D15^2*0.0411647369334598-2*D15*0.04075461502228227)</x:f>
        <x:v>0.16399074694188662</x:v>
      </x:c>
      <x:c r="H15" s="15" t="n">
        <x:f>2.326347874*G15/SQRT(252)</x:f>
        <x:v>0.02403221118506052</x:v>
      </x:c>
    </x:row>
    <x:row r="16">
      <x:c r="C16" s="16" t="n">
        <x:v>0.7</x:v>
      </x:c>
      <x:c r="D16" s="16" t="n">
        <x:f>MAX(0,0.9900370574008408-C16)</x:f>
        <x:v>0.29003705740084085</x:v>
      </x:c>
      <x:c r="E16" t="n">
        <x:f>ROUND(D16*Assumptions!$D$6/(Assumptions!$D$7*Assumptions!$D$8),0)</x:f>
        <x:v>152</x:v>
      </x:c>
      <x:c r="F16" s="16" t="n">
        <x:f>0.9900370574008408-E16*(Assumptions!$D$7*Assumptions!$D$8)/Assumptions!$D$6</x:f>
        <x:v>0.7002019374008408</x:v>
      </x:c>
      <x:c r="G16" s="15" t="n">
        <x:f>SQRT(0.04089611257730805+D16^2*0.0411647369334598-2*D16*0.04075461502228227)</x:f>
        <x:v>0.14393837064014206</x:v>
      </x:c>
      <x:c r="H16" s="15" t="n">
        <x:f>2.326347874*G16/SQRT(252)</x:f>
        <x:v>0.021093612812698694</x:v>
      </x:c>
    </x:row>
    <x:row r="17">
      <x:c r="C17" s="16" t="n">
        <x:v>0.6</x:v>
      </x:c>
      <x:c r="D17" s="16" t="n">
        <x:f>MAX(0,0.9900370574008408-C17)</x:f>
        <x:v>0.3900370574008408</x:v>
      </x:c>
      <x:c r="E17" t="n">
        <x:f>ROUND(D17*Assumptions!$D$6/(Assumptions!$D$7*Assumptions!$D$8),0)</x:f>
        <x:v>205</x:v>
      </x:c>
      <x:c r="F17" s="16" t="n">
        <x:f>0.9900370574008408-E17*(Assumptions!$D$7*Assumptions!$D$8)/Assumptions!$D$6</x:f>
        <x:v>0.5991410074008408</x:v>
      </x:c>
      <x:c r="G17" s="15" t="n">
        <x:f>SQRT(0.04089611257730805+D17^2*0.0411647369334598-2*D17*0.04075461502228227)</x:f>
        <x:v>0.12396305393619964</x:v>
      </x:c>
      <x:c r="H17" s="15" t="n">
        <x:f>2.326347874*G17/SQRT(252)</x:f>
        <x:v>0.018166307227050458</x:v>
      </x:c>
    </x:row>
    <x:row r="18">
      <x:c r="C18" s="16" t="n">
        <x:v>0.5</x:v>
      </x:c>
      <x:c r="D18" s="16" t="n">
        <x:f>MAX(0,0.9900370574008408-C18)</x:f>
        <x:v>0.4900370574008408</x:v>
      </x:c>
      <x:c r="E18" t="n">
        <x:f>ROUND(D18*Assumptions!$D$6/(Assumptions!$D$7*Assumptions!$D$8),0)</x:f>
        <x:v>257</x:v>
      </x:c>
      <x:c r="F18" s="16" t="n">
        <x:f>0.9900370574008408-E18*(Assumptions!$D$7*Assumptions!$D$8)/Assumptions!$D$6</x:f>
        <x:v>0.4999868874008408</x:v>
      </x:c>
      <x:c r="G18" s="15" t="n">
        <x:f>SQRT(0.04089611257730805+D18^2*0.0411647369334598-2*D18*0.04075461502228227)</x:f>
        <x:v>0.10410916231777374</x:v>
      </x:c>
      <x:c r="H18" s="15" t="n">
        <x:f>2.326347874*G18/SQRT(252)</x:f>
        <x:v>0.015256796019150443</x:v>
      </x:c>
    </x:row>
    <x:row r="21">
      <x:c r="C21" s="8" t="str">
        <x:v>Margin control</x:v>
      </x:c>
      <x:c r="D21" s="8" t="str">
        <x:v>Rate / multiplier</x:v>
      </x:c>
      <x:c r="E21" s="8" t="str">
        <x:v>Live amount</x:v>
      </x:c>
      <x:c r="F21" s="8" t="str">
        <x:v>Interpretation</x:v>
      </x:c>
    </x:row>
    <x:row r="22">
      <x:c r="C22" t="str">
        <x:v>Initial margin</x:v>
      </x:c>
      <x:c r="D22" s="18" t="n">
        <x:f>Assumptions!D13</x:f>
        <x:v>0.17</x:v>
      </x:c>
      <x:c r="E22" s="25" t="n">
        <x:f>E16*Assumptions!$D$7*Assumptions!$D$8*Assumptions!$D$13</x:f>
        <x:v>4927197040</x:v>
      </x:c>
      <x:c r="F22" t="str">
        <x:v>Minimum VSDC rate; broker may require more</x:v>
      </x:c>
    </x:row>
    <x:row r="23">
      <x:c r="C23" t="str">
        <x:v>Stressed margin liquidity</x:v>
      </x:c>
      <x:c r="D23" s="27" t="n">
        <x:f>Assumptions!D14</x:f>
        <x:v>1.5</x:v>
      </x:c>
      <x:c r="E23" s="25" t="n">
        <x:f>E22*Assumptions!$D$14</x:f>
        <x:v>7390795560</x:v>
      </x:c>
      <x:c r="F23" t="str">
        <x:v>Liquidity buffer, not maximum economic loss</x:v>
      </x:c>
    </x:row>
    <x:row r="26">
      <x:c r="C26" s="8" t="str">
        <x:v>Implementation risk</x:v>
      </x:c>
      <x:c r="D26" s="8" t="str">
        <x:v>Status</x:v>
      </x:c>
      <x:c r="E26" s="8" t="str">
        <x:v>Required control</x:v>
      </x:c>
      <x:c r="F26" s="8" t="str">
        <x:v>Reason</x:v>
      </x:c>
    </x:row>
    <x:row r="27" ht="32" customHeight="1">
      <x:c r="C27" t="str">
        <x:v>Contract selection</x:v>
      </x:c>
      <x:c r="D27" t="str">
        <x:v>OPEN</x:v>
      </x:c>
      <x:c r="E27" s="26" t="str">
        <x:v>Select maturity and settlement price</x:v>
      </x:c>
      <x:c r="F27" s="26" t="str">
        <x:v>Index level is only a notional proxy</x:v>
      </x:c>
    </x:row>
    <x:row r="28" ht="32" customHeight="1">
      <x:c r="C28" t="str">
        <x:v>Basis risk</x:v>
      </x:c>
      <x:c r="D28" t="str">
        <x:v>OPEN</x:v>
      </x:c>
      <x:c r="E28" s="26" t="str">
        <x:v>Track futures minus VN30 basis</x:v>
      </x:c>
      <x:c r="F28" s="26" t="str">
        <x:v>Cash portfolio and futures will not move identically</x:v>
      </x:c>
    </x:row>
    <x:row r="29" ht="32" customHeight="1">
      <x:c r="C29" t="str">
        <x:v>Margin liquidity</x:v>
      </x:c>
      <x:c r="D29" t="str">
        <x:v>OPEN</x:v>
      </x:c>
      <x:c r="E29" s="26" t="str">
        <x:v>Confirm broker margin above VSDC minimum</x:v>
      </x:c>
      <x:c r="F29" s="26" t="str">
        <x:v>Margin is liquidity, not maximum economic loss</x:v>
      </x:c>
    </x:row>
    <x:row r="30" ht="32" customHeight="1">
      <x:c r="C30" t="str">
        <x:v>Roll cost</x:v>
      </x:c>
      <x:c r="D30" t="str">
        <x:v>OPEN</x:v>
      </x:c>
      <x:c r="E30" s="26" t="str">
        <x:v>Define roll window and slippage</x:v>
      </x:c>
      <x:c r="F30" s="26" t="str">
        <x:v>Four listed maturities require contract management</x:v>
      </x:c>
    </x:row>
    <x:row r="31" ht="32" customHeight="1">
      <x:c r="C31" t="str">
        <x:v>Tracking mandate</x:v>
      </x:c>
      <x:c r="D31" t="str">
        <x:v>COMMITTEE</x:v>
      </x:c>
      <x:c r="E31" s="26" t="str">
        <x:v>Approve higher tracking error</x:v>
      </x:c>
      <x:c r="F31" s="26" t="str">
        <x:v>Estimated tracking error rises from 2.35% to 6.52%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E5B8A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65.88999938964844" hidden="0" customWidth="1"/>
    <x:col min="4" max="4" width="10" hidden="0" customWidth="1"/>
    <x:col min="5" max="5" width="7.670000076293945" hidden="0" customWidth="1"/>
    <x:col min="6" max="6" width="42" hidden="0" customWidth="1"/>
    <x:col min="8" max="8" width="9" hidden="0" customWidth="1"/>
    <x:col min="9" max="9" width="9.4399995803833" hidden="0" customWidth="1"/>
    <x:col min="10" max="10" width="10.4399995803833" hidden="0" customWidth="1"/>
    <x:col min="11" max="11" width="8" hidden="0" customWidth="1"/>
  </x:cols>
  <x:sheetData>
    <x:row r="1"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C2" s="3" t="str">
        <x:v>Model Diagnostics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C3" s="4" t="str">
        <x:v>Rolling current-weight diagnostic. No future returns enter each forecast, but the series is not realised fund P&amp;L.</x:v>
      </x:c>
    </x:row>
    <x:row r="5">
      <x:c r="C5" s="8" t="str">
        <x:v>Diagnostic</x:v>
      </x:c>
      <x:c r="D5" s="8" t="str">
        <x:v>500-day</x:v>
      </x:c>
      <x:c r="E5" s="8" t="str">
        <x:v>Recent</x:v>
      </x:c>
      <x:c r="F5" s="8" t="str">
        <x:v>Interpretation</x:v>
      </x:c>
      <x:c r="H5" s="8" t="str">
        <x:v>Date</x:v>
      </x:c>
      <x:c r="I5" s="8" t="str">
        <x:v>60d volatility</x:v>
      </x:c>
      <x:c r="J5" s="8" t="str">
        <x:v>250d VaR 99%</x:v>
      </x:c>
      <x:c r="K5" s="8" t="str">
        <x:v>Drawdown</x:v>
      </x:c>
    </x:row>
    <x:row r="6">
      <x:c r="C6" t="str">
        <x:v>Historical VaR 99%</x:v>
      </x:c>
      <x:c r="D6" s="15" t="n">
        <x:v>0.03398851873999015</x:v>
      </x:c>
      <x:c r="E6" s="15" t="n">
        <x:v>0.03252000351180022</x:v>
      </x:c>
      <x:c r="F6" t="str">
        <x:v>Empirical tail</x:v>
      </x:c>
      <x:c r="H6" t="str">
        <x:v>2024-09-05</x:v>
      </x:c>
      <x:c r="I6" s="15" t="n">
        <x:v>0.14230644643258952</x:v>
      </x:c>
      <x:c r="J6" s="15" t="n">
        <x:v>0.036148776784757745</x:v>
      </x:c>
      <x:c r="K6" s="15" t="n">
        <x:v>-0.0654930697436491</x:v>
      </x:c>
    </x:row>
    <x:row r="7">
      <x:c r="C7" t="str">
        <x:v>Normal VaR 99%</x:v>
      </x:c>
      <x:c r="D7" s="15" t="n">
        <x:v>0.028725429963718987</x:v>
      </x:c>
      <x:c r="E7" s="15" t="n">
        <x:v>0.029902804145761207</x:v>
      </x:c>
      <x:c r="F7" t="str">
        <x:v>Normal-distribution benchmark</x:v>
      </x:c>
      <x:c r="H7" t="str">
        <x:v>2024-09-12</x:v>
      </x:c>
      <x:c r="I7" s="15" t="n">
        <x:v>0.13840291147658995</x:v>
      </x:c>
      <x:c r="J7" s="15" t="n">
        <x:v>0.036148776784757745</x:v>
      </x:c>
      <x:c r="K7" s="15" t="n">
        <x:v>-0.07477373195788761</x:v>
      </x:c>
    </x:row>
    <x:row r="8">
      <x:c r="C8" t="str">
        <x:v>Cornish-Fisher VaR 99%</x:v>
      </x:c>
      <x:c r="D8" s="15" t="n">
        <x:v>0.04165451681355335</x:v>
      </x:c>
      <x:c r="E8" s="15" t="n">
        <x:v>0.03326802061295951</x:v>
      </x:c>
      <x:c r="F8" t="str">
        <x:v>Skew/kurtosis adjustment</x:v>
      </x:c>
      <x:c r="H8" t="str">
        <x:v>2024-09-19</x:v>
      </x:c>
      <x:c r="I8" s="15" t="n">
        <x:v>0.13819910886492</x:v>
      </x:c>
      <x:c r="J8" s="15" t="n">
        <x:v>0.036148776784757745</x:v>
      </x:c>
      <x:c r="K8" s="15" t="n">
        <x:v>-0.06282034523385949</x:v>
      </x:c>
    </x:row>
    <x:row r="9">
      <x:c r="C9" t="str">
        <x:v>EWMA volatility</x:v>
      </x:c>
      <x:c r="D9" s="15" t="n">
        <x:v>0.14229642489394853</x:v>
      </x:c>
      <x:c r="E9" s="15" t="n">
        <x:v>0.14196664814659257</x:v>
      </x:c>
      <x:c r="F9" t="str">
        <x:v>Current regime responds faster</x:v>
      </x:c>
      <x:c r="H9" t="str">
        <x:v>2024-09-26</x:v>
      </x:c>
      <x:c r="I9" s="15" t="n">
        <x:v>0.1373332777985078</x:v>
      </x:c>
      <x:c r="J9" s="15" t="n">
        <x:v>0.03547439046835353</x:v>
      </x:c>
      <x:c r="K9" s="15" t="n">
        <x:v>-0.041247419856965006</x:v>
      </x:c>
    </x:row>
    <x:row r="10">
      <x:c r="C10" t="str">
        <x:v>Skewness</x:v>
      </x:c>
      <x:c r="D10" s="16" t="n">
        <x:v>-0.7971342656315831</x:v>
      </x:c>
      <x:c r="E10" s="16" t="n">
        <x:v>-0.6822895134461118</x:v>
      </x:c>
      <x:c r="F10" t="str">
        <x:v>Negative values imply heavier left tail</x:v>
      </x:c>
      <x:c r="H10" t="str">
        <x:v>2024-10-03</x:v>
      </x:c>
      <x:c r="I10" s="15" t="n">
        <x:v>0.13768218091294998</x:v>
      </x:c>
      <x:c r="J10" s="15" t="n">
        <x:v>0.03239185169519462</x:v>
      </x:c>
      <x:c r="K10" s="15" t="n">
        <x:v>-0.04983578454506088</x:v>
      </x:c>
    </x:row>
    <x:row r="11">
      <x:c r="C11" t="str">
        <x:v>Excess kurtosis</x:v>
      </x:c>
      <x:c r="D11" s="16" t="n">
        <x:v>7.871191829571641</x:v>
      </x:c>
      <x:c r="E11" s="16" t="n">
        <x:v>4.00299451712184</x:v>
      </x:c>
      <x:c r="F11" t="str">
        <x:v>Normal distribution equals zero</x:v>
      </x:c>
      <x:c r="H11" t="str">
        <x:v>2024-10-10</x:v>
      </x:c>
      <x:c r="I11" s="15" t="n">
        <x:v>0.138323458324607</x:v>
      </x:c>
      <x:c r="J11" s="15" t="n">
        <x:v>0.03239185169519462</x:v>
      </x:c>
      <x:c r="K11" s="15" t="n">
        <x:v>-0.03722566201825228</x:v>
      </x:c>
    </x:row>
    <x:row r="12">
      <x:c r="C12" t="str">
        <x:v>Average pairwise correlation</x:v>
      </x:c>
      <x:c r="D12" s="16" t="n">
        <x:v>0.3675995251119915</x:v>
      </x:c>
      <x:c r="E12" s="16" t="n">
        <x:v>0.35415450959073835</x:v>
      </x:c>
      <x:c r="F12" t="str">
        <x:v>Diversification regime</x:v>
      </x:c>
      <x:c r="H12" t="str">
        <x:v>2024-10-17</x:v>
      </x:c>
      <x:c r="I12" s="15" t="n">
        <x:v>0.13570555577199844</x:v>
      </x:c>
      <x:c r="J12" s="15" t="n">
        <x:v>0.03239185169519462</x:v>
      </x:c>
      <x:c r="K12" s="15" t="n">
        <x:v>-0.03514008212144837</x:v>
      </x:c>
    </x:row>
    <x:row r="13">
      <x:c r="C13" t="str">
        <x:v>Diversification ratio</x:v>
      </x:c>
      <x:c r="D13" s="16" t="n">
        <x:v>1.6385574647321304</x:v>
      </x:c>
      <x:c r="E13" s="16"/>
      <x:c r="F13" t="str">
        <x:v>Above 1 indicates diversification benefit</x:v>
      </x:c>
      <x:c r="H13" t="str">
        <x:v>2024-10-24</x:v>
      </x:c>
      <x:c r="I13" s="15" t="n">
        <x:v>0.13893676020886503</x:v>
      </x:c>
      <x:c r="J13" s="15" t="n">
        <x:v>0.03239185169519462</x:v>
      </x:c>
      <x:c r="K13" s="15" t="n">
        <x:v>-0.05302533648871943</x:v>
      </x:c>
    </x:row>
    <x:row r="14">
      <x:c r="H14" t="str">
        <x:v>2024-10-31</x:v>
      </x:c>
      <x:c r="I14" s="15" t="n">
        <x:v>0.10110295041564975</x:v>
      </x:c>
      <x:c r="J14" s="15" t="n">
        <x:v>0.027146160320762083</x:v>
      </x:c>
      <x:c r="K14" s="15" t="n">
        <x:v>-0.048805421305581964</x:v>
      </x:c>
    </x:row>
    <x:row r="15">
      <x:c r="H15" t="str">
        <x:v>2024-11-07</x:v>
      </x:c>
      <x:c r="I15" s="15" t="n">
        <x:v>0.1025871744694969</x:v>
      </x:c>
      <x:c r="J15" s="15" t="n">
        <x:v>0.027146160320762083</x:v>
      </x:c>
      <x:c r="K15" s="15" t="n">
        <x:v>-0.05488247981009586</x:v>
      </x:c>
    </x:row>
    <x:row r="16">
      <x:c r="C16" s="8" t="str">
        <x:v>Validation control</x:v>
      </x:c>
      <x:c r="D16" s="8" t="str">
        <x:v>Result</x:v>
      </x:c>
      <x:c r="E16" s="8" t="str">
        <x:v>Threshold</x:v>
      </x:c>
      <x:c r="F16" s="8" t="str">
        <x:v>Assessment</x:v>
      </x:c>
      <x:c r="H16" t="str">
        <x:v>2024-11-14</x:v>
      </x:c>
      <x:c r="I16" s="15" t="n">
        <x:v>0.09812149667090733</x:v>
      </x:c>
      <x:c r="J16" s="15" t="n">
        <x:v>0.027146160320762083</x:v>
      </x:c>
      <x:c r="K16" s="15" t="n">
        <x:v>-0.08248099288565958</x:v>
      </x:c>
    </x:row>
    <x:row r="17">
      <x:c r="C17" t="str">
        <x:v>Exceptions</x:v>
      </x:c>
      <x:c r="D17" t="n">
        <x:v>2</x:v>
      </x:c>
      <x:c r="E17" t="n">
        <x:v>4</x:v>
      </x:c>
      <x:c r="F17" t="str">
        <x:v>GREEN</x:v>
      </x:c>
      <x:c r="H17" t="str">
        <x:v>2024-11-21</x:v>
      </x:c>
      <x:c r="I17" s="15" t="n">
        <x:v>0.10294440964494932</x:v>
      </x:c>
      <x:c r="J17" s="15" t="n">
        <x:v>0.023944190111418864</x:v>
      </x:c>
      <x:c r="K17" s="15" t="n">
        <x:v>-0.08614310276536719</x:v>
      </x:c>
    </x:row>
    <x:row r="18">
      <x:c r="C18" t="str">
        <x:v>Exception rate</x:v>
      </x:c>
      <x:c r="D18" s="15" t="n">
        <x:v>0.008</x:v>
      </x:c>
      <x:c r="E18" s="15" t="n">
        <x:v>0.01</x:v>
      </x:c>
      <x:c r="F18" t="str">
        <x:v>Expected 1.0%</x:v>
      </x:c>
      <x:c r="H18" t="str">
        <x:v>2024-11-28</x:v>
      </x:c>
      <x:c r="I18" s="15" t="n">
        <x:v>0.10184715983464271</x:v>
      </x:c>
      <x:c r="J18" s="15" t="n">
        <x:v>0.020203511278380326</x:v>
      </x:c>
      <x:c r="K18" s="15" t="n">
        <x:v>-0.07601373441293657</x:v>
      </x:c>
    </x:row>
    <x:row r="19">
      <x:c r="C19" t="str">
        <x:v>Kupiec POF LR</x:v>
      </x:c>
      <x:c r="D19" t="n">
        <x:v>0.10843521623679919</x:v>
      </x:c>
      <x:c r="E19"/>
      <x:c r="F19" t="str">
        <x:v>Unconditional coverage</x:v>
      </x:c>
      <x:c r="H19" t="str">
        <x:v>2024-12-05</x:v>
      </x:c>
      <x:c r="I19" s="15" t="n">
        <x:v>0.1184831065414714</x:v>
      </x:c>
      <x:c r="J19" s="15" t="n">
        <x:v>0.020203511278380326</x:v>
      </x:c>
      <x:c r="K19" s="15" t="n">
        <x:v>-0.05063908856825727</x:v>
      </x:c>
    </x:row>
    <x:row r="20">
      <x:c r="C20" t="str">
        <x:v>Kupiec POF p-value</x:v>
      </x:c>
      <x:c r="D20" s="28" t="n">
        <x:v>0.7419327009526282</x:v>
      </x:c>
      <x:c r="E20" s="28" t="n">
        <x:v>0.05</x:v>
      </x:c>
      <x:c r="F20" t="str">
        <x:v>DO NOT REJECT</x:v>
      </x:c>
      <x:c r="H20" t="str">
        <x:v>2024-12-12</x:v>
      </x:c>
      <x:c r="I20" s="15" t="n">
        <x:v>0.11003427494926678</x:v>
      </x:c>
      <x:c r="J20" s="15" t="n">
        <x:v>0.020203511278380326</x:v>
      </x:c>
      <x:c r="K20" s="15" t="n">
        <x:v>-0.0529310027300961</x:v>
      </x:c>
    </x:row>
    <x:row r="21">
      <x:c r="C21" t="str">
        <x:v>Christoffersen independence p-value</x:v>
      </x:c>
      <x:c r="D21" s="28" t="n">
        <x:v>0.8571765193042811</x:v>
      </x:c>
      <x:c r="E21" s="28" t="n">
        <x:v>0.05</x:v>
      </x:c>
      <x:c r="F21" t="str">
        <x:v>DO NOT REJECT</x:v>
      </x:c>
      <x:c r="H21" t="str">
        <x:v>2024-12-19</x:v>
      </x:c>
      <x:c r="I21" s="15" t="n">
        <x:v>0.10895132646509934</x:v>
      </x:c>
      <x:c r="J21" s="15" t="n">
        <x:v>0.020203511278380326</x:v>
      </x:c>
      <x:c r="K21" s="15" t="n">
        <x:v>-0.06531124823304213</x:v>
      </x:c>
    </x:row>
    <x:row r="22">
      <x:c r="C22" t="str">
        <x:v>Conditional coverage p-value</x:v>
      </x:c>
      <x:c r="D22" s="28" t="n">
        <x:v>0.9320096436687839</x:v>
      </x:c>
      <x:c r="E22" s="28" t="n">
        <x:v>0.05</x:v>
      </x:c>
      <x:c r="F22" t="str">
        <x:v>DO NOT REJECT</x:v>
      </x:c>
      <x:c r="H22" t="str">
        <x:v>2024-12-26</x:v>
      </x:c>
      <x:c r="I22" s="15" t="n">
        <x:v>0.11116569383721873</x:v>
      </x:c>
      <x:c r="J22" s="15" t="n">
        <x:v>0.020203511278380326</x:v>
      </x:c>
      <x:c r="K22" s="15" t="n">
        <x:v>-0.04546719444973579</x:v>
      </x:c>
    </x:row>
    <x:row r="23">
      <x:c r="C23" t="str">
        <x:v>Covariance PSD minimum eigenvalue</x:v>
      </x:c>
      <x:c r="D23" t="n">
        <x:v>0</x:v>
      </x:c>
      <x:c r="E23" t="n">
        <x:v>-1e-12</x:v>
      </x:c>
      <x:c r="F23" t="str">
        <x:v>PASS</x:v>
      </x:c>
      <x:c r="H23" t="str">
        <x:v>2025-01-03</x:v>
      </x:c>
      <x:c r="I23" s="15" t="n">
        <x:v>0.11387774021013061</x:v>
      </x:c>
      <x:c r="J23" s="15" t="n">
        <x:v>0.020203511278380326</x:v>
      </x:c>
      <x:c r="K23" s="15" t="n">
        <x:v>-0.05687773074793512</x:v>
      </x:c>
    </x:row>
    <x:row r="24">
      <x:c r="C24" t="str">
        <x:v>Direct / sqrt-time 10-day ES</x:v>
      </x:c>
      <x:c r="D24" s="15" t="n">
        <x:v>0.09298277008109858</x:v>
      </x:c>
      <x:c r="E24" s="15" t="n">
        <x:v>0.12300706113288942</x:v>
      </x:c>
      <x:c r="F24" t="str">
        <x:v>Direct method owns the limit</x:v>
      </x:c>
      <x:c r="H24" t="str">
        <x:v>2025-01-10</x:v>
      </x:c>
      <x:c r="I24" s="15" t="n">
        <x:v>0.11676336276266598</x:v>
      </x:c>
      <x:c r="J24" s="15" t="n">
        <x:v>0.020203511278380326</x:v>
      </x:c>
      <x:c r="K24" s="15" t="n">
        <x:v>-0.07727386673802417</x:v>
      </x:c>
    </x:row>
    <x:row r="25">
      <x:c r="C25" t="str">
        <x:v>Short-history proxies</x:v>
      </x:c>
      <x:c r="D25" t="n">
        <x:v>2</x:v>
      </x:c>
      <x:c r="E25" t="n">
        <x:v>0</x:v>
      </x:c>
      <x:c r="F25" t="str">
        <x:v>TCX and VPL in 500-day model</x:v>
      </x:c>
      <x:c r="H25" t="str">
        <x:v>2025-01-17</x:v>
      </x:c>
      <x:c r="I25" s="15" t="n">
        <x:v>0.11561530760315326</x:v>
      </x:c>
      <x:c r="J25" s="15" t="n">
        <x:v>0.020203511278380326</x:v>
      </x:c>
      <x:c r="K25" s="15" t="n">
        <x:v>-0.06490525789513046</x:v>
      </x:c>
    </x:row>
    <x:row r="26">
      <x:c r="H26" t="str">
        <x:v>2025-01-24</x:v>
      </x:c>
      <x:c r="I26" s="15" t="n">
        <x:v>0.12028267299977968</x:v>
      </x:c>
      <x:c r="J26" s="15" t="n">
        <x:v>0.020203511278380326</x:v>
      </x:c>
      <x:c r="K26" s="15" t="n">
        <x:v>-0.04772817140392516</x:v>
      </x:c>
    </x:row>
    <x:row r="27">
      <x:c r="H27" t="str">
        <x:v>2025-02-07</x:v>
      </x:c>
      <x:c r="I27" s="15" t="n">
        <x:v>0.12004499003194333</x:v>
      </x:c>
      <x:c r="J27" s="15" t="n">
        <x:v>0.020203511278380326</x:v>
      </x:c>
      <x:c r="K27" s="15" t="n">
        <x:v>-0.0480848869884406</x:v>
      </x:c>
    </x:row>
    <x:row r="28">
      <x:c r="H28" t="str">
        <x:v>2025-02-14</x:v>
      </x:c>
      <x:c r="I28" s="15" t="n">
        <x:v>0.11743356309371486</x:v>
      </x:c>
      <x:c r="J28" s="15" t="n">
        <x:v>0.020203511278380326</x:v>
      </x:c>
      <x:c r="K28" s="15" t="n">
        <x:v>-0.05412948056498801</x:v>
      </x:c>
    </x:row>
    <x:row r="29">
      <x:c r="H29" t="str">
        <x:v>2025-02-21</x:v>
      </x:c>
      <x:c r="I29" s="15" t="n">
        <x:v>0.11259926092988427</x:v>
      </x:c>
      <x:c r="J29" s="15" t="n">
        <x:v>0.020203511278380326</x:v>
      </x:c>
      <x:c r="K29" s="15" t="n">
        <x:v>-0.0433190028012953</x:v>
      </x:c>
    </x:row>
    <x:row r="30">
      <x:c r="H30" t="str">
        <x:v>2025-02-28</x:v>
      </x:c>
      <x:c r="I30" s="15" t="n">
        <x:v>0.11343750528499523</x:v>
      </x:c>
      <x:c r="J30" s="15" t="n">
        <x:v>0.020203511278380326</x:v>
      </x:c>
      <x:c r="K30" s="15" t="n">
        <x:v>-0.038152488578648724</x:v>
      </x:c>
    </x:row>
    <x:row r="31">
      <x:c r="H31" t="str">
        <x:v>2025-03-07</x:v>
      </x:c>
      <x:c r="I31" s="15" t="n">
        <x:v>0.09929743905321416</x:v>
      </x:c>
      <x:c r="J31" s="15" t="n">
        <x:v>0.020203511278380326</x:v>
      </x:c>
      <x:c r="K31" s="15" t="n">
        <x:v>-0.008628638021361379</x:v>
      </x:c>
    </x:row>
    <x:row r="32">
      <x:c r="H32" t="str">
        <x:v>2025-03-14</x:v>
      </x:c>
      <x:c r="I32" s="15" t="n">
        <x:v>0.09915523059636921</x:v>
      </x:c>
      <x:c r="J32" s="15" t="n">
        <x:v>0.020112898568351682</x:v>
      </x:c>
      <x:c r="K32" s="15" t="n">
        <x:v>-0.0003021892397564452</x:v>
      </x:c>
    </x:row>
    <x:row r="33">
      <x:c r="H33" t="str">
        <x:v>2025-03-21</x:v>
      </x:c>
      <x:c r="I33" s="15" t="n">
        <x:v>0.0992467053034324</x:v>
      </x:c>
      <x:c r="J33" s="15" t="n">
        <x:v>0.020112898568351682</x:v>
      </x:c>
      <x:c r="K33" s="15" t="n">
        <x:v>-0.011021412747944992</x:v>
      </x:c>
    </x:row>
    <x:row r="34">
      <x:c r="H34" t="str">
        <x:v>2025-03-28</x:v>
      </x:c>
      <x:c r="I34" s="15" t="n">
        <x:v>0.09970297982060337</x:v>
      </x:c>
      <x:c r="J34" s="15" t="n">
        <x:v>0.020112898568351682</x:v>
      </x:c>
      <x:c r="K34" s="15" t="n">
        <x:v>-0.007134183347638823</x:v>
      </x:c>
    </x:row>
    <x:row r="35">
      <x:c r="H35" t="str">
        <x:v>2025-04-04</x:v>
      </x:c>
      <x:c r="I35" s="15" t="n">
        <x:v>0.179287257731395</x:v>
      </x:c>
      <x:c r="J35" s="15" t="n">
        <x:v>0.02921216733512442</x:v>
      </x:c>
      <x:c r="K35" s="15" t="n">
        <x:v>-0.07639489352612716</x:v>
      </x:c>
    </x:row>
    <x:row r="36">
      <x:c r="H36" t="str">
        <x:v>2025-04-14</x:v>
      </x:c>
      <x:c r="I36" s="15" t="n">
        <x:v>0.29292744015846495</x:v>
      </x:c>
      <x:c r="J36" s="15" t="n">
        <x:v>0.040209803815989806</x:v>
      </x:c>
      <x:c r="K36" s="15" t="n">
        <x:v>-0.03537239951193982</x:v>
      </x:c>
    </x:row>
    <x:row r="37">
      <x:c r="H37" t="str">
        <x:v>2025-04-21</x:v>
      </x:c>
      <x:c r="I37" s="15" t="n">
        <x:v>0.2967174951181374</x:v>
      </x:c>
      <x:c r="J37" s="15" t="n">
        <x:v>0.030360531011202847</x:v>
      </x:c>
      <x:c r="K37" s="15" t="n">
        <x:v>-0.06652779249671614</x:v>
      </x:c>
    </x:row>
    <x:row r="38">
      <x:c r="H38" t="str">
        <x:v>2025-04-28</x:v>
      </x:c>
      <x:c r="I38" s="15" t="n">
        <x:v>0.29779189981251025</x:v>
      </x:c>
      <x:c r="J38" s="15" t="n">
        <x:v>0.030360531011202847</x:v>
      </x:c>
      <x:c r="K38" s="15" t="n">
        <x:v>-0.03697324225299614</x:v>
      </x:c>
    </x:row>
    <x:row r="39">
      <x:c r="H39" t="str">
        <x:v>2025-05-08</x:v>
      </x:c>
      <x:c r="I39" s="15" t="n">
        <x:v>0.2989445705064758</x:v>
      </x:c>
      <x:c r="J39" s="15" t="n">
        <x:v>0.030360531011202847</x:v>
      </x:c>
      <x:c r="K39" s="15" t="n">
        <x:v>-0.00841971659510854</x:v>
      </x:c>
    </x:row>
    <x:row r="40">
      <x:c r="H40" t="str">
        <x:v>2025-05-15</x:v>
      </x:c>
      <x:c r="I40" s="15" t="n">
        <x:v>0.30114142425410345</x:v>
      </x:c>
      <x:c r="J40" s="15" t="n">
        <x:v>0.030360531011202847</x:v>
      </x:c>
      <x:c r="K40" s="15" t="n">
        <x:v>0</x:v>
      </x:c>
    </x:row>
    <x:row r="41">
      <x:c r="H41" t="str">
        <x:v>2025-05-22</x:v>
      </x:c>
      <x:c r="I41" s="15" t="n">
        <x:v>0.3048334769834411</x:v>
      </x:c>
      <x:c r="J41" s="15" t="n">
        <x:v>0.030360531011202847</x:v>
      </x:c>
      <x:c r="K41" s="15" t="n">
        <x:v>-0.007765092253646744</x:v>
      </x:c>
    </x:row>
    <x:row r="42">
      <x:c r="H42" t="str">
        <x:v>2025-05-29</x:v>
      </x:c>
      <x:c r="I42" s="15" t="n">
        <x:v>0.3046411675371215</x:v>
      </x:c>
      <x:c r="J42" s="15" t="n">
        <x:v>0.030360531011202847</x:v>
      </x:c>
      <x:c r="K42" s="15" t="n">
        <x:v>-0.0012992346375515496</x:v>
      </x:c>
    </x:row>
    <x:row r="43">
      <x:c r="H43" t="str">
        <x:v>2025-06-05</x:v>
      </x:c>
      <x:c r="I43" s="15" t="n">
        <x:v>0.3039361521297057</x:v>
      </x:c>
      <x:c r="J43" s="15" t="n">
        <x:v>0.030360531011202847</x:v>
      </x:c>
      <x:c r="K43" s="15" t="n">
        <x:v>-0.0035665904586024144</x:v>
      </x:c>
    </x:row>
    <x:row r="44">
      <x:c r="H44" t="str">
        <x:v>2025-06-12</x:v>
      </x:c>
      <x:c r="I44" s="15" t="n">
        <x:v>0.30623616252834274</x:v>
      </x:c>
      <x:c r="J44" s="15" t="n">
        <x:v>0.030360531011202847</x:v>
      </x:c>
      <x:c r="K44" s="15" t="n">
        <x:v>-0.012446732175583786</x:v>
      </x:c>
    </x:row>
    <x:row r="45">
      <x:c r="H45" t="str">
        <x:v>2025-06-19</x:v>
      </x:c>
      <x:c r="I45" s="15" t="n">
        <x:v>0.30697494540604375</x:v>
      </x:c>
      <x:c r="J45" s="15" t="n">
        <x:v>0.030360531011202847</x:v>
      </x:c>
      <x:c r="K45" s="15" t="n">
        <x:v>0</x:v>
      </x:c>
    </x:row>
    <x:row r="46">
      <x:c r="H46" t="str">
        <x:v>2025-06-26</x:v>
      </x:c>
      <x:c r="I46" s="15" t="n">
        <x:v>0.3064809735995687</x:v>
      </x:c>
      <x:c r="J46" s="15" t="n">
        <x:v>0.030360531011202847</x:v>
      </x:c>
      <x:c r="K46" s="15" t="n">
        <x:v>-0.00021626982164602016</x:v>
      </x:c>
    </x:row>
    <x:row r="47">
      <x:c r="H47" t="str">
        <x:v>2025-07-03</x:v>
      </x:c>
      <x:c r="I47" s="15" t="n">
        <x:v>0.2631265245097401</x:v>
      </x:c>
      <x:c r="J47" s="15" t="n">
        <x:v>0.030360531011202847</x:v>
      </x:c>
      <x:c r="K47" s="15" t="n">
        <x:v>-0.000542478939899782</x:v>
      </x:c>
    </x:row>
    <x:row r="48">
      <x:c r="H48" t="str">
        <x:v>2025-07-10</x:v>
      </x:c>
      <x:c r="I48" s="15" t="n">
        <x:v>0.13000892090503144</x:v>
      </x:c>
      <x:c r="J48" s="15" t="n">
        <x:v>0.030360531011202847</x:v>
      </x:c>
      <x:c r="K48" s="15" t="n">
        <x:v>0</x:v>
      </x:c>
    </x:row>
    <x:row r="49">
      <x:c r="H49" t="str">
        <x:v>2025-07-17</x:v>
      </x:c>
      <x:c r="I49" s="15" t="n">
        <x:v>0.11980557712084818</x:v>
      </x:c>
      <x:c r="J49" s="15" t="n">
        <x:v>0.030360531011202847</x:v>
      </x:c>
      <x:c r="K49" s="15" t="n">
        <x:v>0</x:v>
      </x:c>
    </x:row>
    <x:row r="50">
      <x:c r="H50" t="str">
        <x:v>2025-07-24</x:v>
      </x:c>
      <x:c r="I50" s="15" t="n">
        <x:v>0.11975508918009439</x:v>
      </x:c>
      <x:c r="J50" s="15" t="n">
        <x:v>0.030360531011202847</x:v>
      </x:c>
      <x:c r="K50" s="15" t="n">
        <x:v>0</x:v>
      </x:c>
    </x:row>
    <x:row r="51">
      <x:c r="H51" t="str">
        <x:v>2025-07-31</x:v>
      </x:c>
      <x:c r="I51" s="15" t="n">
        <x:v>0.15615504656139423</x:v>
      </x:c>
      <x:c r="J51" s="15" t="n">
        <x:v>0.0412307399851568</x:v>
      </x:c>
      <x:c r="K51" s="15" t="n">
        <x:v>-0.04778727586700371</x:v>
      </x:c>
    </x:row>
    <x:row r="52">
      <x:c r="H52" t="str">
        <x:v>2025-08-07</x:v>
      </x:c>
      <x:c r="I52" s="15" t="n">
        <x:v>0.16605584288511932</x:v>
      </x:c>
      <x:c r="J52" s="15" t="n">
        <x:v>0.03468403272675447</x:v>
      </x:c>
      <x:c r="K52" s="15" t="n">
        <x:v>0</x:v>
      </x:c>
    </x:row>
    <x:row r="53">
      <x:c r="H53" t="str">
        <x:v>2025-08-14</x:v>
      </x:c>
      <x:c r="I53" s="15" t="n">
        <x:v>0.16341024750192168</x:v>
      </x:c>
      <x:c r="J53" s="15" t="n">
        <x:v>0.03468403272675447</x:v>
      </x:c>
      <x:c r="K53" s="15" t="n">
        <x:v>0</x:v>
      </x:c>
    </x:row>
    <x:row r="54">
      <x:c r="H54" t="str">
        <x:v>2025-08-21</x:v>
      </x:c>
      <x:c r="I54" s="15" t="n">
        <x:v>0.17060211298870973</x:v>
      </x:c>
      <x:c r="J54" s="15" t="n">
        <x:v>0.03468403272675447</x:v>
      </x:c>
      <x:c r="K54" s="15" t="n">
        <x:v>0</x:v>
      </x:c>
    </x:row>
    <x:row r="55">
      <x:c r="H55" t="str">
        <x:v>2025-08-28</x:v>
      </x:c>
      <x:c r="I55" s="15" t="n">
        <x:v>0.1976401544825094</x:v>
      </x:c>
      <x:c r="J55" s="15" t="n">
        <x:v>0.03855829738255853</x:v>
      </x:c>
      <x:c r="K55" s="15" t="n">
        <x:v>-0.002570655345215278</x:v>
      </x:c>
    </x:row>
    <x:row r="56">
      <x:c r="H56" t="str">
        <x:v>2025-09-08</x:v>
      </x:c>
      <x:c r="I56" s="15" t="n">
        <x:v>0.20568053083881035</x:v>
      </x:c>
      <x:c r="J56" s="15" t="n">
        <x:v>0.03855829738255853</x:v>
      </x:c>
      <x:c r="K56" s="15" t="n">
        <x:v>-0.03828600805837867</x:v>
      </x:c>
    </x:row>
    <x:row r="57">
      <x:c r="H57" t="str">
        <x:v>2025-09-15</x:v>
      </x:c>
      <x:c r="I57" s="15" t="n">
        <x:v>0.20448765114811782</x:v>
      </x:c>
      <x:c r="J57" s="15" t="n">
        <x:v>0.03855829738255853</x:v>
      </x:c>
      <x:c r="K57" s="15" t="n">
        <x:v>-0.0009564381626051555</x:v>
      </x:c>
    </x:row>
    <x:row r="58">
      <x:c r="H58" t="str">
        <x:v>2025-09-22</x:v>
      </x:c>
      <x:c r="I58" s="15" t="n">
        <x:v>0.21154242090140826</x:v>
      </x:c>
      <x:c r="J58" s="15" t="n">
        <x:v>0.03855829738255853</x:v>
      </x:c>
      <x:c r="K58" s="15" t="n">
        <x:v>-0.02938267964420027</x:v>
      </x:c>
    </x:row>
    <x:row r="59">
      <x:c r="H59" t="str">
        <x:v>2025-09-29</x:v>
      </x:c>
      <x:c r="I59" s="15" t="n">
        <x:v>0.21344585937525756</x:v>
      </x:c>
      <x:c r="J59" s="15" t="n">
        <x:v>0.03855829738255853</x:v>
      </x:c>
      <x:c r="K59" s="15" t="n">
        <x:v>-0.006419288364775566</x:v>
      </x:c>
    </x:row>
    <x:row r="60">
      <x:c r="H60" t="str">
        <x:v>2025-10-06</x:v>
      </x:c>
      <x:c r="I60" s="15" t="n">
        <x:v>0.21912528288678426</x:v>
      </x:c>
      <x:c r="J60" s="15" t="n">
        <x:v>0.03855829738255853</x:v>
      </x:c>
      <x:c r="K60" s="15" t="n">
        <x:v>0</x:v>
      </x:c>
    </x:row>
    <x:row r="61">
      <x:c r="H61" t="str">
        <x:v>2025-10-13</x:v>
      </x:c>
      <x:c r="I61" s="15" t="n">
        <x:v>0.22075352155168132</x:v>
      </x:c>
      <x:c r="J61" s="15" t="n">
        <x:v>0.03855829738255853</x:v>
      </x:c>
      <x:c r="K61" s="15" t="n">
        <x:v>0</x:v>
      </x:c>
    </x:row>
    <x:row r="62">
      <x:c r="H62" t="str">
        <x:v>2025-10-20</x:v>
      </x:c>
      <x:c r="I62" s="15" t="n">
        <x:v>0.2537459949603908</x:v>
      </x:c>
      <x:c r="J62" s="15" t="n">
        <x:v>0.05018210635760093</x:v>
      </x:c>
      <x:c r="K62" s="15" t="n">
        <x:v>-0.07293806902053601</x:v>
      </x:c>
    </x:row>
    <x:row r="63">
      <x:c r="H63" t="str">
        <x:v>2025-10-27</x:v>
      </x:c>
      <x:c r="I63" s="15" t="n">
        <x:v>0.24022259767697554</x:v>
      </x:c>
      <x:c r="J63" s="15" t="n">
        <x:v>0.05018210635760093</x:v>
      </x:c>
      <x:c r="K63" s="15" t="n">
        <x:v>-0.05675530213788915</x:v>
      </x:c>
    </x:row>
    <x:row r="64">
      <x:c r="H64" t="str">
        <x:v>2025-11-03</x:v>
      </x:c>
      <x:c r="I64" s="15" t="n">
        <x:v>0.24084686124654736</x:v>
      </x:c>
      <x:c r="J64" s="15" t="n">
        <x:v>0.05018210635760093</x:v>
      </x:c>
      <x:c r="K64" s="15" t="n">
        <x:v>-0.06949153729740798</x:v>
      </x:c>
    </x:row>
    <x:row r="65">
      <x:c r="H65" t="str">
        <x:v>2025-11-10</x:v>
      </x:c>
      <x:c r="I65" s="15" t="n">
        <x:v>0.24740999110739811</x:v>
      </x:c>
      <x:c r="J65" s="15" t="n">
        <x:v>0.05018210635760093</x:v>
      </x:c>
      <x:c r="K65" s="15" t="n">
        <x:v>-0.09035918500057516</x:v>
      </x:c>
    </x:row>
    <x:row r="66">
      <x:c r="H66" t="str">
        <x:v>2025-11-17</x:v>
      </x:c>
      <x:c r="I66" s="15" t="n">
        <x:v>0.24848329498803043</x:v>
      </x:c>
      <x:c r="J66" s="15" t="n">
        <x:v>0.05018210635760093</x:v>
      </x:c>
      <x:c r="K66" s="15" t="n">
        <x:v>-0.04513793569217606</x:v>
      </x:c>
    </x:row>
    <x:row r="67">
      <x:c r="H67" t="str">
        <x:v>2025-11-24</x:v>
      </x:c>
      <x:c r="I67" s="15" t="n">
        <x:v>0.22743728662629553</x:v>
      </x:c>
      <x:c r="J67" s="15" t="n">
        <x:v>0.05018210635760093</x:v>
      </x:c>
      <x:c r="K67" s="15" t="n">
        <x:v>-0.03453535042554856</x:v>
      </x:c>
    </x:row>
    <x:row r="68">
      <x:c r="H68" t="str">
        <x:v>2025-12-01</x:v>
      </x:c>
      <x:c r="I68" s="15" t="n">
        <x:v>0.2189020371953051</x:v>
      </x:c>
      <x:c r="J68" s="15" t="n">
        <x:v>0.05018210635760093</x:v>
      </x:c>
      <x:c r="K68" s="15" t="n">
        <x:v>-0.02404950468510647</x:v>
      </x:c>
    </x:row>
    <x:row r="69">
      <x:c r="H69" t="str">
        <x:v>2025-12-08</x:v>
      </x:c>
      <x:c r="I69" s="15" t="n">
        <x:v>0.2180849308080528</x:v>
      </x:c>
      <x:c r="J69" s="15" t="n">
        <x:v>0.05018210635760093</x:v>
      </x:c>
      <x:c r="K69" s="15" t="n">
        <x:v>-0.0017731166668411014</x:v>
      </x:c>
    </x:row>
    <x:row r="70">
      <x:c r="H70" t="str">
        <x:v>2025-12-15</x:v>
      </x:c>
      <x:c r="I70" s="15" t="n">
        <x:v>0.22639306727742675</x:v>
      </x:c>
      <x:c r="J70" s="15" t="n">
        <x:v>0.05018210635760093</x:v>
      </x:c>
      <x:c r="K70" s="15" t="n">
        <x:v>-0.05872325726383143</x:v>
      </x:c>
    </x:row>
    <x:row r="71">
      <x:c r="H71" t="str">
        <x:v>2025-12-22</x:v>
      </x:c>
      <x:c r="I71" s="15" t="n">
        <x:v>0.23610001243594944</x:v>
      </x:c>
      <x:c r="J71" s="15" t="n">
        <x:v>0.05018210635760093</x:v>
      </x:c>
      <x:c r="K71" s="15" t="n">
        <x:v>0</x:v>
      </x:c>
    </x:row>
    <x:row r="72">
      <x:c r="H72" t="str">
        <x:v>2025-12-29</x:v>
      </x:c>
      <x:c r="I72" s="15" t="n">
        <x:v>0.23377359421566887</x:v>
      </x:c>
      <x:c r="J72" s="15" t="n">
        <x:v>0.05018210635760093</x:v>
      </x:c>
      <x:c r="K72" s="15" t="n">
        <x:v>-0.011588495820416211</x:v>
      </x:c>
    </x:row>
    <x:row r="73">
      <x:c r="H73" t="str">
        <x:v>2026-01-07</x:v>
      </x:c>
      <x:c r="I73" s="15" t="n">
        <x:v>0.23194950652014215</x:v>
      </x:c>
      <x:c r="J73" s="15" t="n">
        <x:v>0.05018210635760093</x:v>
      </x:c>
      <x:c r="K73" s="15" t="n">
        <x:v>0</x:v>
      </x:c>
    </x:row>
    <x:row r="74">
      <x:c r="H74" t="str">
        <x:v>2026-01-14</x:v>
      </x:c>
      <x:c r="I74" s="15" t="n">
        <x:v>0.19841052314096502</x:v>
      </x:c>
      <x:c r="J74" s="15" t="n">
        <x:v>0.05018210635760093</x:v>
      </x:c>
      <x:c r="K74" s="15" t="n">
        <x:v>-0.008980294086997853</x:v>
      </x:c>
    </x:row>
    <x:row r="75">
      <x:c r="H75" t="str">
        <x:v>2026-01-21</x:v>
      </x:c>
      <x:c r="I75" s="15" t="n">
        <x:v>0.18977681655186784</x:v>
      </x:c>
      <x:c r="J75" s="15" t="n">
        <x:v>0.05018210635760093</x:v>
      </x:c>
      <x:c r="K75" s="15" t="n">
        <x:v>-0.005350233683530159</x:v>
      </x:c>
    </x:row>
    <x:row r="76">
      <x:c r="H76" t="str">
        <x:v>2026-01-28</x:v>
      </x:c>
      <x:c r="I76" s="15" t="n">
        <x:v>0.18293639004817927</x:v>
      </x:c>
      <x:c r="J76" s="15" t="n">
        <x:v>0.05018210635760093</x:v>
      </x:c>
      <x:c r="K76" s="15" t="n">
        <x:v>-0.04096697311654818</x:v>
      </x:c>
    </x:row>
    <x:row r="77">
      <x:c r="H77" t="str">
        <x:v>2026-02-04</x:v>
      </x:c>
      <x:c r="I77" s="15" t="n">
        <x:v>0.17197978728624877</x:v>
      </x:c>
      <x:c r="J77" s="15" t="n">
        <x:v>0.05018210635760093</x:v>
      </x:c>
      <x:c r="K77" s="15" t="n">
        <x:v>-0.04864691631979001</x:v>
      </x:c>
    </x:row>
    <x:row r="78">
      <x:c r="H78" t="str">
        <x:v>2026-02-11</x:v>
      </x:c>
      <x:c r="I78" s="15" t="n">
        <x:v>0.17045209043003362</x:v>
      </x:c>
      <x:c r="J78" s="15" t="n">
        <x:v>0.05018210635760093</x:v>
      </x:c>
      <x:c r="K78" s="15" t="n">
        <x:v>-0.03760316539282149</x:v>
      </x:c>
    </x:row>
    <x:row r="79">
      <x:c r="H79" t="str">
        <x:v>2026-02-25</x:v>
      </x:c>
      <x:c r="I79" s="15" t="n">
        <x:v>0.17114786149228442</x:v>
      </x:c>
      <x:c r="J79" s="15" t="n">
        <x:v>0.05018210635760093</x:v>
      </x:c>
      <x:c r="K79" s="15" t="n">
        <x:v>-0.013785243980091288</x:v>
      </x:c>
    </x:row>
    <x:row r="80">
      <x:c r="H80" t="str">
        <x:v>2026-03-04</x:v>
      </x:c>
      <x:c r="I80" s="15" t="n">
        <x:v>0.18615292121537566</x:v>
      </x:c>
      <x:c r="J80" s="15" t="n">
        <x:v>0.05018210635760093</x:v>
      </x:c>
      <x:c r="K80" s="15" t="n">
        <x:v>-0.052868809133374106</x:v>
      </x:c>
    </x:row>
    <x:row r="81">
      <x:c r="H81" t="str">
        <x:v>2026-03-11</x:v>
      </x:c>
      <x:c r="I81" s="15" t="n">
        <x:v>0.25027191816380556</x:v>
      </x:c>
      <x:c r="J81" s="15" t="n">
        <x:v>0.06106906231267342</x:v>
      </x:c>
      <x:c r="K81" s="15" t="n">
        <x:v>-0.08675088592416336</x:v>
      </x:c>
    </x:row>
    <x:row r="82">
      <x:c r="H82" t="str">
        <x:v>2026-03-18</x:v>
      </x:c>
      <x:c r="I82" s="15" t="n">
        <x:v>0.24324309994985954</x:v>
      </x:c>
      <x:c r="J82" s="15" t="n">
        <x:v>0.06106906231267342</x:v>
      </x:c>
      <x:c r="K82" s="15" t="n">
        <x:v>-0.09198561854548215</x:v>
      </x:c>
    </x:row>
    <x:row r="83">
      <x:c r="H83" t="str">
        <x:v>2026-03-25</x:v>
      </x:c>
      <x:c r="I83" s="15" t="n">
        <x:v>0.25513110492269664</x:v>
      </x:c>
      <x:c r="J83" s="15" t="n">
        <x:v>0.06106906231267342</x:v>
      </x:c>
      <x:c r="K83" s="15" t="n">
        <x:v>-0.11972972940064153</x:v>
      </x:c>
    </x:row>
    <x:row r="84">
      <x:c r="H84" t="str">
        <x:v>2026-04-01</x:v>
      </x:c>
      <x:c r="I84" s="15" t="n">
        <x:v>0.25584987178603885</x:v>
      </x:c>
      <x:c r="J84" s="15" t="n">
        <x:v>0.06106906231267342</x:v>
      </x:c>
      <x:c r="K84" s="15" t="n">
        <x:v>-0.09779108234400191</x:v>
      </x:c>
    </x:row>
    <x:row r="85">
      <x:c r="H85" t="str">
        <x:v>2026-04-08</x:v>
      </x:c>
      <x:c r="I85" s="15" t="n">
        <x:v>0.2702036051808868</x:v>
      </x:c>
      <x:c r="J85" s="15" t="n">
        <x:v>0.05018210635760093</x:v>
      </x:c>
      <x:c r="K85" s="15" t="n">
        <x:v>-0.06612306085513009</x:v>
      </x:c>
    </x:row>
    <x:row r="86">
      <x:c r="H86" t="str">
        <x:v>2026-04-15</x:v>
      </x:c>
      <x:c r="I86" s="15" t="n">
        <x:v>0.269914451153328</x:v>
      </x:c>
      <x:c r="J86" s="15" t="n">
        <x:v>0.03936644988970936</x:v>
      </x:c>
      <x:c r="K86" s="15" t="n">
        <x:v>-0.05272055427233169</x:v>
      </x:c>
    </x:row>
    <x:row r="87">
      <x:c r="H87" t="str">
        <x:v>2026-04-22</x:v>
      </x:c>
      <x:c r="I87" s="15" t="n">
        <x:v>0.26989920702536585</x:v>
      </x:c>
      <x:c r="J87" s="15" t="n">
        <x:v>0.03936644988970936</x:v>
      </x:c>
      <x:c r="K87" s="15" t="n">
        <x:v>-0.025272911490682448</x:v>
      </x:c>
    </x:row>
    <x:row r="88">
      <x:c r="H88" t="str">
        <x:v>2026-05-04</x:v>
      </x:c>
      <x:c r="I88" s="15" t="n">
        <x:v>0.2679066295263268</x:v>
      </x:c>
      <x:c r="J88" s="15" t="n">
        <x:v>0.03936644988970936</x:v>
      </x:c>
      <x:c r="K88" s="15" t="n">
        <x:v>-0.031218325063029462</x:v>
      </x:c>
    </x:row>
    <x:row r="89">
      <x:c r="H89" t="str">
        <x:v>2026-05-11</x:v>
      </x:c>
      <x:c r="I89" s="15" t="n">
        <x:v>0.2683217423054897</x:v>
      </x:c>
      <x:c r="J89" s="15" t="n">
        <x:v>0.03936644988970936</x:v>
      </x:c>
      <x:c r="K89" s="15" t="n">
        <x:v>-0.018683566317673206</x:v>
      </x:c>
    </x:row>
    <x:row r="90">
      <x:c r="H90" t="str">
        <x:v>2026-05-18</x:v>
      </x:c>
      <x:c r="I90" s="15" t="n">
        <x:v>0.26494496811791113</x:v>
      </x:c>
      <x:c r="J90" s="15" t="n">
        <x:v>0.03936644988970936</x:v>
      </x:c>
      <x:c r="K90" s="15" t="n">
        <x:v>-0.01047623882592097</x:v>
      </x:c>
    </x:row>
    <x:row r="91">
      <x:c r="H91" t="str">
        <x:v>2026-05-25</x:v>
      </x:c>
      <x:c r="I91" s="15" t="n">
        <x:v>0.2645732500241329</x:v>
      </x:c>
      <x:c r="J91" s="15" t="n">
        <x:v>0.03936644988970936</x:v>
      </x:c>
      <x:c r="K91" s="15" t="n">
        <x:v>-0.021593609969827177</x:v>
      </x:c>
    </x:row>
    <x:row r="92">
      <x:c r="H92" t="str">
        <x:v>2026-06-01</x:v>
      </x:c>
      <x:c r="I92" s="15" t="n">
        <x:v>0.2551694222609249</x:v>
      </x:c>
      <x:c r="J92" s="15" t="n">
        <x:v>0.03936644988970936</x:v>
      </x:c>
      <x:c r="K92" s="15" t="n">
        <x:v>-0.03557264829659157</x:v>
      </x:c>
    </x:row>
    <x:row r="93">
      <x:c r="H93" t="str">
        <x:v>2026-06-08</x:v>
      </x:c>
      <x:c r="I93" s="15" t="n">
        <x:v>0.1976741120828872</x:v>
      </x:c>
      <x:c r="J93" s="15" t="n">
        <x:v>0.03936644988970936</x:v>
      </x:c>
      <x:c r="K93" s="15" t="n">
        <x:v>-0.06169411954199544</x:v>
      </x:c>
    </x:row>
    <x:row r="94">
      <x:c r="H94" t="str">
        <x:v>2026-06-15</x:v>
      </x:c>
      <x:c r="I94" s="15" t="n">
        <x:v>0.194693287358869</x:v>
      </x:c>
      <x:c r="J94" s="15" t="n">
        <x:v>0.03936644988970936</x:v>
      </x:c>
      <x:c r="K94" s="15" t="n">
        <x:v>-0.04892203022055719</x:v>
      </x:c>
    </x:row>
    <x:row r="95">
      <x:c r="H95" t="str">
        <x:v>2026-06-22</x:v>
      </x:c>
      <x:c r="I95" s="15" t="n">
        <x:v>0.1594913720994015</x:v>
      </x:c>
      <x:c r="J95" s="15" t="n">
        <x:v>0.03936644988970936</x:v>
      </x:c>
      <x:c r="K95" s="15" t="n">
        <x:v>-0.03947620884090397</x:v>
      </x:c>
    </x:row>
    <x:row r="96">
      <x:c r="H96" t="str">
        <x:v>2026-06-29</x:v>
      </x:c>
      <x:c r="I96" s="15" t="n">
        <x:v>0.15094334238470222</x:v>
      </x:c>
      <x:c r="J96" s="15" t="n">
        <x:v>0.03936644988970936</x:v>
      </x:c>
      <x:c r="K96" s="15" t="n">
        <x:v>-0.024687322774169407</x:v>
      </x:c>
    </x:row>
    <x:row r="97">
      <x:c r="H97" t="str">
        <x:v>2026-07-06</x:v>
      </x:c>
      <x:c r="I97" s="15" t="n">
        <x:v>0.11733247553158013</x:v>
      </x:c>
      <x:c r="J97" s="15" t="n">
        <x:v>0.03936644988970936</x:v>
      </x:c>
      <x:c r="K97" s="15" t="n">
        <x:v>-0.02754063639117932</x:v>
      </x:c>
    </x:row>
    <x:row r="98">
      <x:c r="H98" t="str">
        <x:v>2026-07-13</x:v>
      </x:c>
      <x:c r="I98" s="15" t="n">
        <x:v>0.11913622290203099</x:v>
      </x:c>
      <x:c r="J98" s="15" t="n">
        <x:v>0.03936644988970936</x:v>
      </x:c>
      <x:c r="K98" s="15" t="n">
        <x:v>-0.05116958972053531</x:v>
      </x:c>
    </x:row>
    <x:row r="99">
      <x:c r="H99" t="str">
        <x:v>2026-07-20</x:v>
      </x:c>
      <x:c r="I99" s="15" t="n">
        <x:v>0.13182298006491971</x:v>
      </x:c>
      <x:c r="J99" s="15" t="n">
        <x:v>0.03936644988970936</x:v>
      </x:c>
      <x:c r="K99" s="15" t="n">
        <x:v>-0.07619899740155267</x:v>
      </x:c>
    </x:row>
    <x:row r="100">
      <x:c r="H100" t="str">
        <x:v>2026-07-27</x:v>
      </x:c>
      <x:c r="I100" s="15" t="n">
        <x:v>0.14532812991623062</x:v>
      </x:c>
      <x:c r="J100" s="15" t="n">
        <x:v>0.03936644988970936</x:v>
      </x:c>
      <x:c r="K100" s="15" t="n">
        <x:v>-0.11492424661264189</x:v>
      </x:c>
    </x:row>
    <x:row r="101">
      <x:c r="H101" t="str">
        <x:v>2026-08-03</x:v>
      </x:c>
      <x:c r="I101" s="15" t="n">
        <x:v>0.15981698409681827</x:v>
      </x:c>
      <x:c r="J101" s="15" t="n">
        <x:v>0.032294412098275896</x:v>
      </x:c>
      <x:c r="K101" s="15" t="n">
        <x:v>-0.057297575484230756</x:v>
      </x:c>
    </x:row>
    <x:row r="102">
      <x:c r="H102" t="str">
        <x:v>2026-08-10</x:v>
      </x:c>
      <x:c r="I102" s="15" t="n">
        <x:v>0.15703410658558156</x:v>
      </x:c>
      <x:c r="J102" s="15" t="n">
        <x:v>0.032294412098275896</x:v>
      </x:c>
      <x:c r="K102" s="15" t="n">
        <x:v>-0.0526293340120465</x:v>
      </x:c>
    </x:row>
    <x:row r="103">
      <x:c r="H103" t="str">
        <x:v>2026-08-17</x:v>
      </x:c>
      <x:c r="I103" s="15" t="n">
        <x:v>0.1622032530537247</x:v>
      </x:c>
      <x:c r="J103" s="15" t="n">
        <x:v>0.032294412098275896</x:v>
      </x:c>
      <x:c r="K103" s="15" t="n">
        <x:v>-0.07541409169268154</x:v>
      </x:c>
    </x:row>
    <x:row r="104">
      <x:c r="H104" t="str">
        <x:v>2026-08-24</x:v>
      </x:c>
      <x:c r="I104" s="15" t="n">
        <x:v>0.16825042880043325</x:v>
      </x:c>
      <x:c r="J104" s="15" t="n">
        <x:v>0.032294412098275896</x:v>
      </x:c>
      <x:c r="K104" s="15" t="n">
        <x:v>-0.042953698788587236</x:v>
      </x:c>
    </x:row>
    <x:row r="105">
      <x:c r="H105" t="str">
        <x:v>2026-09-03</x:v>
      </x:c>
      <x:c r="I105" s="15" t="n">
        <x:v>0.16486805645862482</x:v>
      </x:c>
      <x:c r="J105" s="15" t="n">
        <x:v>0.0322348246078509</x:v>
      </x:c>
      <x:c r="K105" s="15" t="n">
        <x:v>-0.032517985976741715</x:v>
      </x:c>
    </x:row>
    <x:row r="106">
      <x:c r="H106" t="str">
        <x:v>2026-09-10</x:v>
      </x:c>
      <x:c r="I106" s="15" t="n">
        <x:v>0.1658207205953567</x:v>
      </x:c>
      <x:c r="J106" s="15" t="n">
        <x:v>0.0322348246078509</x:v>
      </x:c>
      <x:c r="K106" s="15" t="n">
        <x:v>-0.025011631725843197</x:v>
      </x:c>
    </x:row>
    <x:row r="107">
      <x:c r="H107" t="str">
        <x:v>2026-09-17</x:v>
      </x:c>
      <x:c r="I107" s="15" t="n">
        <x:v>0.1728552213561587</x:v>
      </x:c>
      <x:c r="J107" s="15" t="n">
        <x:v>0.0322348246078509</x:v>
      </x:c>
      <x:c r="K107" s="15" t="n">
        <x:v>-0.0257036153966691</x:v>
      </x:c>
    </x:row>
    <x:row r="108">
      <x:c r="H108" t="str">
        <x:v>2026-09-24</x:v>
      </x:c>
      <x:c r="I108" s="15" t="n">
        <x:v>0.17449661339573638</x:v>
      </x:c>
      <x:c r="J108" s="15" t="n">
        <x:v>0.0322348246078509</x:v>
      </x:c>
      <x:c r="K108" s="15" t="n">
        <x:v>-0.04604205102886083</x:v>
      </x:c>
    </x:row>
    <x:row r="109">
      <x:c r="H109" t="str">
        <x:v>2026-09-30</x:v>
      </x:c>
      <x:c r="I109" s="15" t="n">
        <x:v>0.17412187840474658</x:v>
      </x:c>
      <x:c r="J109" s="15" t="n">
        <x:v>0.0322348246078509</x:v>
      </x:c>
      <x:c r="K109" s="15" t="n">
        <x:v>-0.05818967188061863</x:v>
      </x:c>
    </x:row>
  </x:sheetData>
  <x:pageMargins left="0.7" right="0.7" top="0.75" bottom="0.75" header="0.3" footer="0.3"/>
  <x:drawing xmlns:r="http://schemas.openxmlformats.org/officeDocument/2006/relationships" r:id="Ra6de7a84de1440bf"/>
</x:worksheet>
</file>

<file path=xl/worksheets/sheet6.xml><?xml version="1.0" encoding="utf-8"?>
<x:worksheet xmlns:x="http://schemas.openxmlformats.org/spreadsheetml/2006/main">
  <x:sheetPr>
    <x:tabColor rgb="FF8A96A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7.439998626708984" hidden="0" customWidth="1"/>
    <x:col min="4" max="4" width="24" hidden="0" customWidth="1"/>
    <x:col min="5" max="5" width="9" hidden="0" customWidth="1"/>
    <x:col min="6" max="6" width="9" hidden="0" customWidth="1"/>
    <x:col min="7" max="7" width="7.440000057220459" hidden="0" customWidth="1"/>
    <x:col min="8" max="8" width="26" hidden="0" customWidth="1"/>
    <x:col min="9" max="9" width="26" hidden="0" customWidth="1"/>
    <x:col min="11" max="11" width="20.329999923706055" hidden="0" customWidth="1"/>
    <x:col min="12" max="12" width="55" hidden="0" customWidth="1"/>
    <x:col min="13" max="13" width="31.670000076293945" hidden="0" customWidth="1"/>
  </x:cols>
  <x:sheetData>
    <x:row r="1"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C2" s="3" t="str">
        <x:v>Data Coverage &amp; Model Audit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C3" s="4" t="str">
        <x:v>Every proxy, volatility floor and validation control is visible; no silent substitution.</x:v>
      </x:c>
    </x:row>
    <x:row r="5">
      <x:c r="C5" s="8" t="str">
        <x:v>Ticker</x:v>
      </x:c>
      <x:c r="D5" s="8" t="str">
        <x:v>Sector</x:v>
      </x:c>
      <x:c r="E5" s="8" t="str">
        <x:v>First date</x:v>
      </x:c>
      <x:c r="F5" s="8" t="str">
        <x:v>Last date</x:v>
      </x:c>
      <x:c r="G5" s="8" t="str">
        <x:v>Raw rows</x:v>
      </x:c>
      <x:c r="H5" s="8" t="str">
        <x:v>500d method</x:v>
      </x:c>
      <x:c r="I5" s="8" t="str">
        <x:v>250d method</x:v>
      </x:c>
      <x:c r="K5" s="8" t="str">
        <x:v>Control</x:v>
      </x:c>
      <x:c r="L5" s="8" t="str">
        <x:v>Result</x:v>
      </x:c>
      <x:c r="M5" s="8" t="str">
        <x:v>Evidence</x:v>
      </x:c>
    </x:row>
    <x:row r="6">
      <x:c r="C6" t="str">
        <x:v>ACB</x:v>
      </x:c>
      <x:c r="D6" t="str">
        <x:v>Financials</x:v>
      </x:c>
      <x:c r="E6" t="str">
        <x:v>2019-01-02</x:v>
      </x:c>
      <x:c r="F6" t="str">
        <x:v>2026-09-30</x:v>
      </x:c>
      <x:c r="G6" t="n">
        <x:v>1926</x:v>
      </x:c>
      <x:c r="H6" t="str">
        <x:v>own</x:v>
      </x:c>
      <x:c r="I6" t="str">
        <x:v>own</x:v>
      </x:c>
      <x:c r="K6" t="str">
        <x:v>Analytical weights sum</x:v>
      </x:c>
      <x:c r="L6" s="15" t="n">
        <x:v>0.9999999999999999</x:v>
      </x:c>
      <x:c r="M6" t="str">
        <x:v>Expected 100%</x:v>
      </x:c>
    </x:row>
    <x:row r="7">
      <x:c r="C7" t="str">
        <x:v>BID</x:v>
      </x:c>
      <x:c r="D7" t="str">
        <x:v>Financials</x:v>
      </x:c>
      <x:c r="E7" t="str">
        <x:v>2019-01-02</x:v>
      </x:c>
      <x:c r="F7" t="str">
        <x:v>2026-09-30</x:v>
      </x:c>
      <x:c r="G7" t="n">
        <x:v>1931</x:v>
      </x:c>
      <x:c r="H7" t="str">
        <x:v>own</x:v>
      </x:c>
      <x:c r="I7" t="str">
        <x:v>own</x:v>
      </x:c>
      <x:c r="K7" t="str">
        <x:v>Component risk sum</x:v>
      </x:c>
      <x:c r="L7" s="15" t="n">
        <x:v>1.000000000000001</x:v>
      </x:c>
      <x:c r="M7" t="str">
        <x:v>Expected 100%</x:v>
      </x:c>
    </x:row>
    <x:row r="8">
      <x:c r="C8" t="str">
        <x:v>BSR</x:v>
      </x:c>
      <x:c r="D8" t="str">
        <x:v>Energy</x:v>
      </x:c>
      <x:c r="E8" t="str">
        <x:v>2019-01-02</x:v>
      </x:c>
      <x:c r="F8" t="str">
        <x:v>2026-09-30</x:v>
      </x:c>
      <x:c r="G8" t="n">
        <x:v>1923</x:v>
      </x:c>
      <x:c r="H8" t="str">
        <x:v>own</x:v>
      </x:c>
      <x:c r="I8" t="str">
        <x:v>own</x:v>
      </x:c>
      <x:c r="K8" t="str">
        <x:v>Primary observations</x:v>
      </x:c>
      <x:c r="L8" t="n">
        <x:v>500</x:v>
      </x:c>
      <x:c r="M8" t="str">
        <x:v>Expected 500</x:v>
      </x:c>
    </x:row>
    <x:row r="9">
      <x:c r="C9" t="str">
        <x:v>CTG</x:v>
      </x:c>
      <x:c r="D9" t="str">
        <x:v>Financials</x:v>
      </x:c>
      <x:c r="E9" t="str">
        <x:v>2019-01-02</x:v>
      </x:c>
      <x:c r="F9" t="str">
        <x:v>2026-09-30</x:v>
      </x:c>
      <x:c r="G9" t="n">
        <x:v>1931</x:v>
      </x:c>
      <x:c r="H9" t="str">
        <x:v>own</x:v>
      </x:c>
      <x:c r="I9" t="str">
        <x:v>own</x:v>
      </x:c>
      <x:c r="K9" t="str">
        <x:v>Recent observations</x:v>
      </x:c>
      <x:c r="L9" t="n">
        <x:v>250</x:v>
      </x:c>
      <x:c r="M9" t="str">
        <x:v>Expected 250</x:v>
      </x:c>
    </x:row>
    <x:row r="10">
      <x:c r="C10" t="str">
        <x:v>FPT</x:v>
      </x:c>
      <x:c r="D10" t="str">
        <x:v>Information Technology</x:v>
      </x:c>
      <x:c r="E10" t="str">
        <x:v>2019-01-02</x:v>
      </x:c>
      <x:c r="F10" t="str">
        <x:v>2026-09-30</x:v>
      </x:c>
      <x:c r="G10" t="n">
        <x:v>1931</x:v>
      </x:c>
      <x:c r="H10" t="str">
        <x:v>own</x:v>
      </x:c>
      <x:c r="I10" t="str">
        <x:v>own</x:v>
      </x:c>
      <x:c r="K10" t="str">
        <x:v>Backtest observations</x:v>
      </x:c>
      <x:c r="L10" t="n">
        <x:v>250</x:v>
      </x:c>
      <x:c r="M10" t="str">
        <x:v>Expected 250</x:v>
      </x:c>
    </x:row>
    <x:row r="11">
      <x:c r="C11" t="str">
        <x:v>GAS</x:v>
      </x:c>
      <x:c r="D11" t="str">
        <x:v>Utilities</x:v>
      </x:c>
      <x:c r="E11" t="str">
        <x:v>2019-01-02</x:v>
      </x:c>
      <x:c r="F11" t="str">
        <x:v>2026-09-30</x:v>
      </x:c>
      <x:c r="G11" t="n">
        <x:v>1931</x:v>
      </x:c>
      <x:c r="H11" t="str">
        <x:v>own</x:v>
      </x:c>
      <x:c r="I11" t="str">
        <x:v>own</x:v>
      </x:c>
      <x:c r="K11" t="str">
        <x:v>Direct 10-day observations</x:v>
      </x:c>
      <x:c r="L11" t="n">
        <x:v>241</x:v>
      </x:c>
      <x:c r="M11" t="str">
        <x:v>Expected 241 overlapping windows</x:v>
      </x:c>
    </x:row>
    <x:row r="12">
      <x:c r="C12" t="str">
        <x:v>GVR</x:v>
      </x:c>
      <x:c r="D12" t="str">
        <x:v>Materials</x:v>
      </x:c>
      <x:c r="E12" t="str">
        <x:v>2019-01-02</x:v>
      </x:c>
      <x:c r="F12" t="str">
        <x:v>2026-09-30</x:v>
      </x:c>
      <x:c r="G12" t="n">
        <x:v>1925</x:v>
      </x:c>
      <x:c r="H12" t="str">
        <x:v>own</x:v>
      </x:c>
      <x:c r="I12" t="str">
        <x:v>own</x:v>
      </x:c>
      <x:c r="K12" t="str">
        <x:v>Covariance PSD</x:v>
      </x:c>
      <x:c r="L12" t="str">
        <x:v>PASS</x:v>
      </x:c>
      <x:c r="M12" t="str">
        <x:v>Min eigenvalue 0.00e+0</x:v>
      </x:c>
    </x:row>
    <x:row r="13">
      <x:c r="C13" t="str">
        <x:v>HDB</x:v>
      </x:c>
      <x:c r="D13" t="str">
        <x:v>Financials</x:v>
      </x:c>
      <x:c r="E13" t="str">
        <x:v>2019-01-02</x:v>
      </x:c>
      <x:c r="F13" t="str">
        <x:v>2026-09-30</x:v>
      </x:c>
      <x:c r="G13" t="n">
        <x:v>1931</x:v>
      </x:c>
      <x:c r="H13" t="str">
        <x:v>own</x:v>
      </x:c>
      <x:c r="I13" t="str">
        <x:v>own</x:v>
      </x:c>
      <x:c r="K13" t="str">
        <x:v>TCX proxy volatility scale</x:v>
      </x:c>
      <x:c r="L13" s="16" t="n">
        <x:v>1.3335616233923915</x:v>
      </x:c>
      <x:c r="M13" t="str">
        <x:v>Peer-median volatility floor</x:v>
      </x:c>
    </x:row>
    <x:row r="14">
      <x:c r="C14" t="str">
        <x:v>HPG</x:v>
      </x:c>
      <x:c r="D14" t="str">
        <x:v>Materials</x:v>
      </x:c>
      <x:c r="E14" t="str">
        <x:v>2019-01-02</x:v>
      </x:c>
      <x:c r="F14" t="str">
        <x:v>2026-09-30</x:v>
      </x:c>
      <x:c r="G14" t="n">
        <x:v>1931</x:v>
      </x:c>
      <x:c r="H14" t="str">
        <x:v>own</x:v>
      </x:c>
      <x:c r="I14" t="str">
        <x:v>own</x:v>
      </x:c>
      <x:c r="K14" t="str">
        <x:v>Worst stressed days to exit</x:v>
      </x:c>
      <x:c r="L14" s="16" t="n">
        <x:v>1.6097331068740026</x:v>
      </x:c>
      <x:c r="M14" t="str">
        <x:v>10% participation and 50% volume haircut</x:v>
      </x:c>
    </x:row>
    <x:row r="15">
      <x:c r="C15" t="str">
        <x:v>LPB</x:v>
      </x:c>
      <x:c r="D15" t="str">
        <x:v>Financials</x:v>
      </x:c>
      <x:c r="E15" t="str">
        <x:v>2019-01-02</x:v>
      </x:c>
      <x:c r="F15" t="str">
        <x:v>2026-09-30</x:v>
      </x:c>
      <x:c r="G15" t="n">
        <x:v>1921</x:v>
      </x:c>
      <x:c r="H15" t="str">
        <x:v>own</x:v>
      </x:c>
      <x:c r="I15" t="str">
        <x:v>own</x:v>
      </x:c>
      <x:c r="K15" t="str">
        <x:v>Short-history proxies</x:v>
      </x:c>
      <x:c r="L15" t="n">
        <x:v>2</x:v>
      </x:c>
      <x:c r="M15" t="str">
        <x:v>TCX and VPL in 500-day model</x:v>
      </x:c>
    </x:row>
    <x:row r="16">
      <x:c r="C16" t="str">
        <x:v>MBB</x:v>
      </x:c>
      <x:c r="D16" t="str">
        <x:v>Financials</x:v>
      </x:c>
      <x:c r="E16" t="str">
        <x:v>2019-01-02</x:v>
      </x:c>
      <x:c r="F16" t="str">
        <x:v>2026-09-30</x:v>
      </x:c>
      <x:c r="G16" t="n">
        <x:v>1931</x:v>
      </x:c>
      <x:c r="H16" t="str">
        <x:v>own</x:v>
      </x:c>
      <x:c r="I16" t="str">
        <x:v>own</x:v>
      </x:c>
      <x:c r="K16" t="str">
        <x:v>Python checks</x:v>
      </x:c>
      <x:c r="L16" t="str">
        <x:v>PASS</x:v>
      </x:c>
      <x:c r="M16" t="str">
        <x:v>scripts/run_checks.py</x:v>
      </x:c>
    </x:row>
    <x:row r="17">
      <x:c r="C17" t="str">
        <x:v>MCH</x:v>
      </x:c>
      <x:c r="D17" t="str">
        <x:v>Consumer Staples</x:v>
      </x:c>
      <x:c r="E17" t="str">
        <x:v>2019-01-02</x:v>
      </x:c>
      <x:c r="F17" t="str">
        <x:v>2026-09-30</x:v>
      </x:c>
      <x:c r="G17" t="n">
        <x:v>1926</x:v>
      </x:c>
      <x:c r="H17" t="str">
        <x:v>own</x:v>
      </x:c>
      <x:c r="I17" t="str">
        <x:v>own</x:v>
      </x:c>
    </x:row>
    <x:row r="18">
      <x:c r="C18" t="str">
        <x:v>MSN</x:v>
      </x:c>
      <x:c r="D18" t="str">
        <x:v>Consumer Staples</x:v>
      </x:c>
      <x:c r="E18" t="str">
        <x:v>2019-01-02</x:v>
      </x:c>
      <x:c r="F18" t="str">
        <x:v>2026-09-30</x:v>
      </x:c>
      <x:c r="G18" t="n">
        <x:v>1931</x:v>
      </x:c>
      <x:c r="H18" t="str">
        <x:v>own</x:v>
      </x:c>
      <x:c r="I18" t="str">
        <x:v>own</x:v>
      </x:c>
    </x:row>
    <x:row r="19">
      <x:c r="C19" t="str">
        <x:v>MWG</x:v>
      </x:c>
      <x:c r="D19" t="str">
        <x:v>Consumer Discretionary</x:v>
      </x:c>
      <x:c r="E19" t="str">
        <x:v>2019-01-02</x:v>
      </x:c>
      <x:c r="F19" t="str">
        <x:v>2026-09-30</x:v>
      </x:c>
      <x:c r="G19" t="n">
        <x:v>1931</x:v>
      </x:c>
      <x:c r="H19" t="str">
        <x:v>own</x:v>
      </x:c>
      <x:c r="I19" t="str">
        <x:v>own</x:v>
      </x:c>
      <x:c r="K19" s="8" t="str">
        <x:v>Source</x:v>
      </x:c>
      <x:c r="L19" s="8" t="str">
        <x:v>URL / file</x:v>
      </x:c>
      <x:c r="M19" s="8" t="str">
        <x:v>Use</x:v>
      </x:c>
    </x:row>
    <x:row r="20">
      <x:c r="C20" t="str">
        <x:v>SAB</x:v>
      </x:c>
      <x:c r="D20" t="str">
        <x:v>Consumer Staples</x:v>
      </x:c>
      <x:c r="E20" t="str">
        <x:v>2019-01-02</x:v>
      </x:c>
      <x:c r="F20" t="str">
        <x:v>2026-09-30</x:v>
      </x:c>
      <x:c r="G20" t="n">
        <x:v>1931</x:v>
      </x:c>
      <x:c r="H20" t="str">
        <x:v>own</x:v>
      </x:c>
      <x:c r="I20" t="str">
        <x:v>own</x:v>
      </x:c>
      <x:c r="K20" t="str">
        <x:v>SSIAM Sep-2026 factsheet</x:v>
      </x:c>
      <x:c r="L20" t="str">
        <x:v>https://ssiam.com.vn/upload/files/QuanLyQuy/ETF%20Monthly%20Report%20September%202026.pdf</x:v>
      </x:c>
      <x:c r="M20" t="str">
        <x:v>Holdings, sector weights, NAV</x:v>
      </x:c>
    </x:row>
    <x:row r="21">
      <x:c r="C21" t="str">
        <x:v>SHB</x:v>
      </x:c>
      <x:c r="D21" t="str">
        <x:v>Financials</x:v>
      </x:c>
      <x:c r="E21" t="str">
        <x:v>2019-01-02</x:v>
      </x:c>
      <x:c r="F21" t="str">
        <x:v>2026-09-30</x:v>
      </x:c>
      <x:c r="G21" t="n">
        <x:v>1928</x:v>
      </x:c>
      <x:c r="H21" t="str">
        <x:v>own</x:v>
      </x:c>
      <x:c r="I21" t="str">
        <x:v>own</x:v>
      </x:c>
      <x:c r="K21" t="str">
        <x:v>SSIAM fund page</x:v>
      </x:c>
      <x:c r="L21" t="str">
        <x:v>https://ssiam.com.vn/en/fund-information-VN30</x:v>
      </x:c>
      <x:c r="M21" t="str">
        <x:v>Fund objective and benchmark</x:v>
      </x:c>
    </x:row>
    <x:row r="22">
      <x:c r="C22" t="str">
        <x:v>SSB</x:v>
      </x:c>
      <x:c r="D22" t="str">
        <x:v>Financials</x:v>
      </x:c>
      <x:c r="E22" t="str">
        <x:v>2021-03-24</x:v>
      </x:c>
      <x:c r="F22" t="str">
        <x:v>2026-09-30</x:v>
      </x:c>
      <x:c r="G22" t="n">
        <x:v>1377</x:v>
      </x:c>
      <x:c r="H22" t="str">
        <x:v>own</x:v>
      </x:c>
      <x:c r="I22" t="str">
        <x:v>own</x:v>
      </x:c>
      <x:c r="K22" t="str">
        <x:v>VNDirect Finfo</x:v>
      </x:c>
      <x:c r="L22" t="str">
        <x:v>https://api-finfo.vndirect.com.vn/v4</x:v>
      </x:c>
      <x:c r="M22" t="str">
        <x:v>Adjusted prices and trading values</x:v>
      </x:c>
    </x:row>
    <x:row r="23">
      <x:c r="C23" t="str">
        <x:v>SSI</x:v>
      </x:c>
      <x:c r="D23" t="str">
        <x:v>Financials</x:v>
      </x:c>
      <x:c r="E23" t="str">
        <x:v>2019-01-02</x:v>
      </x:c>
      <x:c r="F23" t="str">
        <x:v>2026-09-30</x:v>
      </x:c>
      <x:c r="G23" t="n">
        <x:v>1931</x:v>
      </x:c>
      <x:c r="H23" t="str">
        <x:v>own</x:v>
      </x:c>
      <x:c r="I23" t="str">
        <x:v>own</x:v>
      </x:c>
      <x:c r="K23" t="str">
        <x:v>HNX</x:v>
      </x:c>
      <x:c r="L23" t="str">
        <x:v>https://www.vpdt.hnx.vn/vi-vn/huong-dan/chi-tiet-thu-tuc-36-65.html</x:v>
      </x:c>
      <x:c r="M23" t="str">
        <x:v>VN30 futures multiplier</x:v>
      </x:c>
    </x:row>
    <x:row r="24">
      <x:c r="C24" t="str">
        <x:v>STB</x:v>
      </x:c>
      <x:c r="D24" t="str">
        <x:v>Financials</x:v>
      </x:c>
      <x:c r="E24" t="str">
        <x:v>2019-01-02</x:v>
      </x:c>
      <x:c r="F24" t="str">
        <x:v>2026-09-30</x:v>
      </x:c>
      <x:c r="G24" t="n">
        <x:v>1931</x:v>
      </x:c>
      <x:c r="H24" t="str">
        <x:v>own</x:v>
      </x:c>
      <x:c r="I24" t="str">
        <x:v>own</x:v>
      </x:c>
      <x:c r="K24" t="str">
        <x:v>VSDC 18-Sep-2026 notice</x:v>
      </x:c>
      <x:c r="L24" t="str">
        <x:v>https://vsdc.vn/vi/ad/200326</x:v>
      </x:c>
      <x:c r="M24" t="str">
        <x:v>VN30 futures initial margin minimum</x:v>
      </x:c>
    </x:row>
    <x:row r="25">
      <x:c r="C25" t="str">
        <x:v>TCB</x:v>
      </x:c>
      <x:c r="D25" t="str">
        <x:v>Financials</x:v>
      </x:c>
      <x:c r="E25" t="str">
        <x:v>2019-01-02</x:v>
      </x:c>
      <x:c r="F25" t="str">
        <x:v>2026-09-30</x:v>
      </x:c>
      <x:c r="G25" t="n">
        <x:v>1931</x:v>
      </x:c>
      <x:c r="H25" t="str">
        <x:v>own</x:v>
      </x:c>
      <x:c r="I25" t="str">
        <x:v>own</x:v>
      </x:c>
      <x:c r="K25" t="str">
        <x:v>BIS MAR99</x:v>
      </x:c>
      <x:c r="L25" t="str">
        <x:v>https://www.bis.org/committees/bcbs/basel-framework/standard/mar/99/inforce/2019-12-15/published/2019-12-15</x:v>
      </x:c>
      <x:c r="M25" t="str">
        <x:v>Backtest zone reference</x:v>
      </x:c>
    </x:row>
    <x:row r="26">
      <x:c r="C26" t="str">
        <x:v>TCX</x:v>
      </x:c>
      <x:c r="D26" t="str">
        <x:v>Financials</x:v>
      </x:c>
      <x:c r="E26" t="str">
        <x:v>2025-10-21</x:v>
      </x:c>
      <x:c r="F26" t="str">
        <x:v>2026-09-30</x:v>
      </x:c>
      <x:c r="G26" t="n">
        <x:v>234</x:v>
      </x:c>
      <x:c r="H26" t="str">
        <x:v>sector proxy + vol floor</x:v>
      </x:c>
      <x:c r="I26" t="str">
        <x:v>sector proxy + vol floor</x:v>
      </x:c>
    </x:row>
    <x:row r="27">
      <x:c r="C27" t="str">
        <x:v>VCB</x:v>
      </x:c>
      <x:c r="D27" t="str">
        <x:v>Financials</x:v>
      </x:c>
      <x:c r="E27" t="str">
        <x:v>2019-01-02</x:v>
      </x:c>
      <x:c r="F27" t="str">
        <x:v>2026-09-30</x:v>
      </x:c>
      <x:c r="G27" t="n">
        <x:v>1931</x:v>
      </x:c>
      <x:c r="H27" t="str">
        <x:v>own</x:v>
      </x:c>
      <x:c r="I27" t="str">
        <x:v>own</x:v>
      </x:c>
    </x:row>
    <x:row r="28">
      <x:c r="C28" t="str">
        <x:v>VHM</x:v>
      </x:c>
      <x:c r="D28" t="str">
        <x:v>Real Estate</x:v>
      </x:c>
      <x:c r="E28" t="str">
        <x:v>2019-01-02</x:v>
      </x:c>
      <x:c r="F28" t="str">
        <x:v>2026-09-30</x:v>
      </x:c>
      <x:c r="G28" t="n">
        <x:v>1931</x:v>
      </x:c>
      <x:c r="H28" t="str">
        <x:v>own</x:v>
      </x:c>
      <x:c r="I28" t="str">
        <x:v>own</x:v>
      </x:c>
    </x:row>
    <x:row r="29">
      <x:c r="C29" t="str">
        <x:v>VIB</x:v>
      </x:c>
      <x:c r="D29" t="str">
        <x:v>Financials</x:v>
      </x:c>
      <x:c r="E29" t="str">
        <x:v>2019-01-02</x:v>
      </x:c>
      <x:c r="F29" t="str">
        <x:v>2026-09-30</x:v>
      </x:c>
      <x:c r="G29" t="n">
        <x:v>1924</x:v>
      </x:c>
      <x:c r="H29" t="str">
        <x:v>own</x:v>
      </x:c>
      <x:c r="I29" t="str">
        <x:v>own</x:v>
      </x:c>
    </x:row>
    <x:row r="30">
      <x:c r="C30" t="str">
        <x:v>VIC</x:v>
      </x:c>
      <x:c r="D30" t="str">
        <x:v>Real Estate</x:v>
      </x:c>
      <x:c r="E30" t="str">
        <x:v>2019-01-02</x:v>
      </x:c>
      <x:c r="F30" t="str">
        <x:v>2026-09-30</x:v>
      </x:c>
      <x:c r="G30" t="n">
        <x:v>1931</x:v>
      </x:c>
      <x:c r="H30" t="str">
        <x:v>own</x:v>
      </x:c>
      <x:c r="I30" t="str">
        <x:v>own</x:v>
      </x:c>
    </x:row>
    <x:row r="31">
      <x:c r="C31" t="str">
        <x:v>VJC</x:v>
      </x:c>
      <x:c r="D31" t="str">
        <x:v>Industrials</x:v>
      </x:c>
      <x:c r="E31" t="str">
        <x:v>2019-01-02</x:v>
      </x:c>
      <x:c r="F31" t="str">
        <x:v>2026-09-30</x:v>
      </x:c>
      <x:c r="G31" t="n">
        <x:v>1931</x:v>
      </x:c>
      <x:c r="H31" t="str">
        <x:v>own</x:v>
      </x:c>
      <x:c r="I31" t="str">
        <x:v>own</x:v>
      </x:c>
    </x:row>
    <x:row r="32">
      <x:c r="C32" t="str">
        <x:v>VNM</x:v>
      </x:c>
      <x:c r="D32" t="str">
        <x:v>Consumer Staples</x:v>
      </x:c>
      <x:c r="E32" t="str">
        <x:v>2019-01-02</x:v>
      </x:c>
      <x:c r="F32" t="str">
        <x:v>2026-09-30</x:v>
      </x:c>
      <x:c r="G32" t="n">
        <x:v>1931</x:v>
      </x:c>
      <x:c r="H32" t="str">
        <x:v>own</x:v>
      </x:c>
      <x:c r="I32" t="str">
        <x:v>own</x:v>
      </x:c>
    </x:row>
    <x:row r="33">
      <x:c r="C33" t="str">
        <x:v>VPB</x:v>
      </x:c>
      <x:c r="D33" t="str">
        <x:v>Financials</x:v>
      </x:c>
      <x:c r="E33" t="str">
        <x:v>2019-01-02</x:v>
      </x:c>
      <x:c r="F33" t="str">
        <x:v>2026-09-30</x:v>
      </x:c>
      <x:c r="G33" t="n">
        <x:v>1931</x:v>
      </x:c>
      <x:c r="H33" t="str">
        <x:v>own</x:v>
      </x:c>
      <x:c r="I33" t="str">
        <x:v>own</x:v>
      </x:c>
    </x:row>
    <x:row r="34">
      <x:c r="C34" t="str">
        <x:v>VPL</x:v>
      </x:c>
      <x:c r="D34" t="str">
        <x:v>Consumer Discretionary</x:v>
      </x:c>
      <x:c r="E34" t="str">
        <x:v>2025-05-13</x:v>
      </x:c>
      <x:c r="F34" t="str">
        <x:v>2026-09-30</x:v>
      </x:c>
      <x:c r="G34" t="n">
        <x:v>347</x:v>
      </x:c>
      <x:c r="H34" t="str">
        <x:v>sector proxy + vol floor</x:v>
      </x:c>
      <x:c r="I34" t="str">
        <x:v>own</x:v>
      </x:c>
    </x:row>
    <x:row r="35">
      <x:c r="C35" t="str">
        <x:v>VRE</x:v>
      </x:c>
      <x:c r="D35" t="str">
        <x:v>Real Estate</x:v>
      </x:c>
      <x:c r="E35" t="str">
        <x:v>2019-01-02</x:v>
      </x:c>
      <x:c r="F35" t="str">
        <x:v>2026-09-30</x:v>
      </x:c>
      <x:c r="G35" t="n">
        <x:v>1931</x:v>
      </x:c>
      <x:c r="H35" t="str">
        <x:v>own</x:v>
      </x:c>
      <x:c r="I35" t="str">
        <x:v>own</x:v>
      </x:c>
    </x:row>
  </x:sheetData>
  <x:pageMargins left="0.7" right="0.7" top="0.75" bottom="0.75" header="0.3" footer="0.3"/>
</x:worksheet>
</file>